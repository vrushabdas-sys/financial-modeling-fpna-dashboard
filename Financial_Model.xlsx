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Revenue" sheetId="2" r:id="rId5"/>
    <sheet state="visible" name="Costs" sheetId="3" r:id="rId6"/>
    <sheet state="visible" name="P&amp;L" sheetId="4" r:id="rId7"/>
    <sheet state="visible" name="CashFlow" sheetId="5" r:id="rId8"/>
    <sheet state="visible" name="Region_BU" sheetId="6" r:id="rId9"/>
    <sheet state="visible" name="Variance" sheetId="7" r:id="rId10"/>
    <sheet state="visible" name="Sales_Performance" sheetId="8" r:id="rId11"/>
    <sheet state="visible" name="Regional_Heads" sheetId="9" r:id="rId12"/>
    <sheet state="visible" name="Balance_Sheet" sheetId="10" r:id="rId13"/>
    <sheet state="visible" name="Financial Dashboard" sheetId="11" r:id="rId14"/>
    <sheet state="visible" name="Insights" sheetId="12" r:id="rId15"/>
  </sheets>
  <definedNames/>
  <calcPr/>
  <extLst>
    <ext uri="GoogleSheetsCustomDataVersion2">
      <go:sheetsCustomData xmlns:go="http://customooxmlschemas.google.com/" r:id="rId16" roundtripDataChecksum="0I/ic3mYX1PppvZ3FXJiCLMb/nqc0HMnZR41Urtpdv0="/>
    </ext>
  </extLst>
</workbook>
</file>

<file path=xl/sharedStrings.xml><?xml version="1.0" encoding="utf-8"?>
<sst xmlns="http://schemas.openxmlformats.org/spreadsheetml/2006/main" count="452" uniqueCount="282">
  <si>
    <t>Sales Executives</t>
  </si>
  <si>
    <t>Deals per Exec</t>
  </si>
  <si>
    <t>Scenario Manager</t>
  </si>
  <si>
    <t>Base Case</t>
  </si>
  <si>
    <t>Scenario</t>
  </si>
  <si>
    <t>Growth %</t>
  </si>
  <si>
    <t>Why</t>
  </si>
  <si>
    <t>Avg Deal Size</t>
  </si>
  <si>
    <t>Monthly Growth %</t>
  </si>
  <si>
    <t>Worst</t>
  </si>
  <si>
    <t>Demand slowdown, fewer deals</t>
  </si>
  <si>
    <t>Marketing %</t>
  </si>
  <si>
    <t>Base</t>
  </si>
  <si>
    <t>Your original assumption</t>
  </si>
  <si>
    <t>Admin Cost</t>
  </si>
  <si>
    <t>Best</t>
  </si>
  <si>
    <t>Strong demand, better pipeline</t>
  </si>
  <si>
    <t>Rent &amp; Tech</t>
  </si>
  <si>
    <t>Sales Salary</t>
  </si>
  <si>
    <t>IMP Note:- The model includes scenario dropdowns (Worst, Base, Best) in Revenue Sheet and month selectors Drop down in Region_BU sheets that dynamically update Revenue, Region Allocation, BU Allocation, P&amp;L, Cash Flow and Balance Sheet.</t>
  </si>
  <si>
    <t>Regional Head Salary</t>
  </si>
  <si>
    <t>Other Employee Salary</t>
  </si>
  <si>
    <t>Receivable Days</t>
  </si>
  <si>
    <t>Total Employees</t>
  </si>
  <si>
    <t>Payable Days</t>
  </si>
  <si>
    <t>Regional Head</t>
  </si>
  <si>
    <t>Tax Rate</t>
  </si>
  <si>
    <t>Depreciation Rate</t>
  </si>
  <si>
    <t>Assumption based on Actual Revenue are from Rand Between Formula</t>
  </si>
  <si>
    <t>C2*(1+RANDBETWEEN(-10,10)/100)</t>
  </si>
  <si>
    <t>Salary Increment %</t>
  </si>
  <si>
    <t>Region</t>
  </si>
  <si>
    <t>% Allocation</t>
  </si>
  <si>
    <t>Total Deals</t>
  </si>
  <si>
    <t>Region1</t>
  </si>
  <si>
    <t>Region2</t>
  </si>
  <si>
    <t>Expected Monthly Revenue</t>
  </si>
  <si>
    <t>Region3</t>
  </si>
  <si>
    <t>Region4</t>
  </si>
  <si>
    <t>Total Salary Cost</t>
  </si>
  <si>
    <t>Region5</t>
  </si>
  <si>
    <t>Total Admin Cost</t>
  </si>
  <si>
    <t>Total</t>
  </si>
  <si>
    <t>Total Rent &amp; Tech</t>
  </si>
  <si>
    <t>Total Marketing Cost</t>
  </si>
  <si>
    <t>Department</t>
  </si>
  <si>
    <t>Headcount</t>
  </si>
  <si>
    <t>Salary</t>
  </si>
  <si>
    <t>Regional Heads</t>
  </si>
  <si>
    <t>Delivery / Tech</t>
  </si>
  <si>
    <t>HR</t>
  </si>
  <si>
    <t>Finance</t>
  </si>
  <si>
    <t>Admin</t>
  </si>
  <si>
    <t>Total headcount</t>
  </si>
  <si>
    <t>Headcount Check</t>
  </si>
  <si>
    <t>BU Allocation:</t>
  </si>
  <si>
    <t>BU1 = 20%</t>
  </si>
  <si>
    <t>BU2 = 20%</t>
  </si>
  <si>
    <t>BU3 = 20%</t>
  </si>
  <si>
    <t>BU4 = 20%</t>
  </si>
  <si>
    <t>BU5 = 20%</t>
  </si>
  <si>
    <t>Scenario: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</si>
  <si>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</si>
  <si>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</si>
  <si>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</si>
  <si>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</si>
  <si>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</si>
  <si>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</si>
  <si>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</si>
  <si>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</si>
  <si>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</si>
  <si>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</si>
  <si>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</si>
  <si>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</si>
  <si>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</si>
  <si>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</si>
  <si>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Region Revenue Allocation</t>
  </si>
  <si>
    <t>Total Check</t>
  </si>
  <si>
    <t>Validation</t>
  </si>
  <si>
    <t>BU1</t>
  </si>
  <si>
    <t>BU2</t>
  </si>
  <si>
    <t>BU3</t>
  </si>
  <si>
    <t>BU4</t>
  </si>
  <si>
    <t>BU5</t>
  </si>
  <si>
    <t xml:space="preserve">Months </t>
  </si>
  <si>
    <t>Total Cost Break Down (Yearly)</t>
  </si>
  <si>
    <t>Salary Cost</t>
  </si>
  <si>
    <t>Marketing</t>
  </si>
  <si>
    <t>Rent</t>
  </si>
  <si>
    <t>Depreciation</t>
  </si>
  <si>
    <t>Total Cost</t>
  </si>
  <si>
    <t>Annual Cost</t>
  </si>
  <si>
    <t>Average Monthly Cost</t>
  </si>
  <si>
    <t>Gross Profit</t>
  </si>
  <si>
    <t>EBITDA</t>
  </si>
  <si>
    <t>Tax</t>
  </si>
  <si>
    <t>Net Profit</t>
  </si>
  <si>
    <t>Total Revenue</t>
  </si>
  <si>
    <t>Total Net Profit</t>
  </si>
  <si>
    <t>Profit Margin</t>
  </si>
  <si>
    <t>Note</t>
  </si>
  <si>
    <t>(we are assuming no extra operating expenses</t>
  </si>
  <si>
    <t>Opening Cash</t>
  </si>
  <si>
    <t>Cash Inflow</t>
  </si>
  <si>
    <t xml:space="preserve">Funding Inflow </t>
  </si>
  <si>
    <t>Total Inflow</t>
  </si>
  <si>
    <t>Profit (after tax, from P&amp;L)</t>
  </si>
  <si>
    <t>Tax Paid</t>
  </si>
  <si>
    <t>Total Outflow</t>
  </si>
  <si>
    <t>Net Cash</t>
  </si>
  <si>
    <t>Closing Cash</t>
  </si>
  <si>
    <t xml:space="preserve">Receivables </t>
  </si>
  <si>
    <t>Net Cash After Working Capital</t>
  </si>
  <si>
    <t>Payables</t>
  </si>
  <si>
    <t>Minimum Cash Balance</t>
  </si>
  <si>
    <t>Receivable Movement</t>
  </si>
  <si>
    <t>Payable Movement</t>
  </si>
  <si>
    <t>Net Working Capital</t>
  </si>
  <si>
    <t>Month</t>
  </si>
  <si>
    <t>Jan</t>
  </si>
  <si>
    <t>| Region | Total Revenue | % Contribution |</t>
  </si>
  <si>
    <t>Total January revenue</t>
  </si>
  <si>
    <t>Budget Revenue</t>
  </si>
  <si>
    <t>Actual Revenue</t>
  </si>
  <si>
    <t>Variance</t>
  </si>
  <si>
    <t>% Variance</t>
  </si>
  <si>
    <t>Reason</t>
  </si>
  <si>
    <t>Strong start to the year driven by early deal closures and improved sales productivity.</t>
  </si>
  <si>
    <t>Slight decline due to delay in deal closures and lower-than-expected conversion rate.</t>
  </si>
  <si>
    <t>Impact of seasonal slowdown and weaker sales pipeline conversion towards quarter end.</t>
  </si>
  <si>
    <t>Performance in line with budget, indicating stable execution and accurate forecasting.</t>
  </si>
  <si>
    <t>Underperformance due to delayed client decisions and slower deal closures.</t>
  </si>
  <si>
    <t>Minor shortfall due to moderate pipeline conversion despite steady deal flow.</t>
  </si>
  <si>
    <t>Higher-than-expected revenue driven by strong deal closures and improved sales execution.</t>
  </si>
  <si>
    <t>Continued momentum from previous month with better pipeline conversion and productivity.</t>
  </si>
  <si>
    <t>Peak performance driven by closing of high-value deals and strong sales efficiency.</t>
  </si>
  <si>
    <t>Decline due to festive season impact and reduced working days affecting sales activity.</t>
  </si>
  <si>
    <t>Slight underperformance due to slower deal pipeline and cautious client spending.</t>
  </si>
  <si>
    <t>Strong year-end push with accelerated deal closures and achievement of annual targets.</t>
  </si>
  <si>
    <t>Sales Exec</t>
  </si>
  <si>
    <t>Target Revenue</t>
  </si>
  <si>
    <t>Region No</t>
  </si>
  <si>
    <t>SE1</t>
  </si>
  <si>
    <t>Top performers → Green</t>
  </si>
  <si>
    <t>SE2</t>
  </si>
  <si>
    <t>Negative variance → Red</t>
  </si>
  <si>
    <t>SE3</t>
  </si>
  <si>
    <t>SE4</t>
  </si>
  <si>
    <t>SE5</t>
  </si>
  <si>
    <t>SE6</t>
  </si>
  <si>
    <t>SE7</t>
  </si>
  <si>
    <t>SE8</t>
  </si>
  <si>
    <t>SE9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</si>
  <si>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</si>
  <si>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</si>
  <si>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</si>
  <si>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</si>
  <si>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</si>
  <si>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</si>
  <si>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</si>
  <si>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</si>
  <si>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</si>
  <si>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</si>
  <si>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</si>
  <si>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</si>
  <si>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</si>
  <si>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</si>
  <si>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</si>
  <si>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</si>
  <si>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</si>
  <si>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</si>
  <si>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</si>
  <si>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</si>
  <si>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</si>
  <si>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</si>
  <si>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</si>
  <si>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</si>
  <si>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</si>
  <si>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</si>
  <si>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</si>
  <si>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</si>
  <si>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</si>
  <si>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</si>
  <si>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</si>
  <si>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</si>
  <si>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</si>
  <si>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</si>
  <si>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</si>
  <si>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</si>
  <si>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</si>
  <si>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</si>
  <si>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</si>
  <si>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</si>
  <si>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</si>
  <si>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</si>
  <si>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</si>
  <si>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</si>
  <si>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</si>
  <si>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</si>
  <si>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</si>
  <si>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</si>
  <si>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</si>
  <si>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</si>
  <si>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RH10</t>
  </si>
  <si>
    <t>Particulars</t>
  </si>
  <si>
    <t>Year End</t>
  </si>
  <si>
    <t>ASSETS</t>
  </si>
  <si>
    <t>Gross PPE = Annual Depreciation / Depreciation Rate</t>
  </si>
  <si>
    <t>Cash</t>
  </si>
  <si>
    <t>Gross PPE</t>
  </si>
  <si>
    <t>Accounts Receivable</t>
  </si>
  <si>
    <t>Total Assets</t>
  </si>
  <si>
    <t>LIABILITIES &amp; EQUITY</t>
  </si>
  <si>
    <t>Equity Capital</t>
  </si>
  <si>
    <t>Retained Earnings</t>
  </si>
  <si>
    <t>Total Liabilities &amp; Equity</t>
  </si>
  <si>
    <t>Accumulated Depreciation</t>
  </si>
  <si>
    <t>Net PPE</t>
  </si>
  <si>
    <t>Accounts Payable</t>
  </si>
  <si>
    <t>Opening RE</t>
  </si>
  <si>
    <t>Add Net Profit</t>
  </si>
  <si>
    <t>Closing RE</t>
  </si>
  <si>
    <t>Financial Dashboard – IT Company Budget</t>
  </si>
  <si>
    <t>KPI</t>
  </si>
  <si>
    <t>Value</t>
  </si>
  <si>
    <t>Total Profit</t>
  </si>
  <si>
    <t>Avg Monthly Revenue</t>
  </si>
  <si>
    <t>Insights:</t>
  </si>
  <si>
    <t>1. Revenue Insights</t>
  </si>
  <si>
    <t>The company shows a consistent monthly revenue growth of 5% under Base Case.</t>
  </si>
  <si>
    <t>Revenue contribution is diversified across regions.</t>
  </si>
  <si>
    <t>Region1 contributes 25% (highest)</t>
  </si>
  <si>
    <t>Region5 contributes 15% (lowest)</t>
  </si>
  <si>
    <t>Business Units are equally structured (20% each), ensuring balanced BU-level visibility.</t>
  </si>
  <si>
    <t>Scenario Manager allows the company to simulate Worst (3%), Base (5%), and Best Case (7%) revenue growth.</t>
  </si>
  <si>
    <t>Under Worst Case, revenue growth slows significantly due to weaker demand.</t>
  </si>
  <si>
    <t>Under Best Case, strong pipeline and better conversion drive accelerated growth.</t>
  </si>
  <si>
    <t>2. Profitability Insights</t>
  </si>
  <si>
    <t>EBITDA increases consistently across the year under Base Case assumptions.</t>
  </si>
  <si>
    <t>Salary Cost is the largest cost component, followed by Marketing (10% of revenue).</t>
  </si>
  <si>
    <t>High fixed costs (Admin + Rent &amp; Tech) create pressure in early months, but growth absorbs them.</t>
  </si>
  <si>
    <t>Net Profit Margin stabilizes around 20%+, indicating a strong cost-to-revenue structure.</t>
  </si>
  <si>
    <t>3. Cash Flow Insights</t>
  </si>
  <si>
    <t>Cash Inflows grow proportionally with revenue.</t>
  </si>
  <si>
    <t>Tax Paid and Working Capital adjustments (Receivables &amp; Payables) correctly influence monthly cash positions.</t>
  </si>
  <si>
    <t>Closing Cash increases month-over-month due to strong profitability and controlled expenses.</t>
  </si>
  <si>
    <t>Minimum cash balance is maintained without liquidity stress, indicating healthy solvency.</t>
  </si>
  <si>
    <t>4. Working Capital Insights</t>
  </si>
  <si>
    <t>Receivable Days = 45 days → Higher cash lock-in.</t>
  </si>
  <si>
    <t>Suggestion: Improve collections to 30–35 days.</t>
  </si>
  <si>
    <t>Payable Days = 30 days → Vendor terms give moderate flexibility.</t>
  </si>
  <si>
    <t>Net Working Capital Impact reduces cash in high-growth months due to increase in receivables.</t>
  </si>
  <si>
    <t>5. Business Unit Performance</t>
  </si>
  <si>
    <t>BU1–BU5 each account for 20% of total revenue by design.</t>
  </si>
  <si>
    <t>Region-wise BU split helps identify which region contributes most to each BU.</t>
  </si>
  <si>
    <t>BU-level tracking enables management to review profitability by business vertical.</t>
  </si>
  <si>
    <t>6. Region Performance</t>
  </si>
  <si>
    <t>Region1 → Highest revenue generator (25%)</t>
  </si>
  <si>
    <t>Region5 → Lowest but stable performer (15%)</t>
  </si>
  <si>
    <t>Region-level P&amp;L helps identify efficiency of Regional Heads and Sales Executives.</t>
  </si>
  <si>
    <t>7. Variance Analysis Insights</t>
  </si>
  <si>
    <t>Positive variance months indicate strong sales execution &amp; high-value deal closures.</t>
  </si>
  <si>
    <t>Negative variances occur due to seasonality, delayed client decisions, or weaker pipeline.</t>
  </si>
  <si>
    <t>Monthly variance tracking helps identify:</t>
  </si>
  <si>
    <t>Sales conversion issues</t>
  </si>
  <si>
    <t>Regional underperformance</t>
  </si>
  <si>
    <t>Over/under-spending vs budget</t>
  </si>
  <si>
    <t>8. Scenario Manager Insights</t>
  </si>
  <si>
    <t>Scenario Manager enables instant switching between:</t>
  </si>
  <si>
    <t>Worst Case: 3% monthly growth (low demand, fewer deals)</t>
  </si>
  <si>
    <t>Base Case: 5% (default assumption)</t>
  </si>
  <si>
    <t>Best Case: 7% (strong demand, improved win-rate)</t>
  </si>
  <si>
    <t>Entire Revenue, BU Allocation, Region Allocation, P&amp;L, and Cash Flow update instantly.</t>
  </si>
  <si>
    <t>Strengthens decision-making by showing budget sensitivity to changes in growth assumptions.</t>
  </si>
  <si>
    <t>9. Key Takeaways for Management</t>
  </si>
  <si>
    <t>Model is dynamic and fully linked across Revenue → P&amp;L → Cash Flow → Balance Sheet.</t>
  </si>
  <si>
    <t>Provides multi-level insights:</t>
  </si>
  <si>
    <t>CEO → Overall profitability</t>
  </si>
  <si>
    <t>CFO → Cash, Working Capital, Variance</t>
  </si>
  <si>
    <t>Regional Heads → Region performance</t>
  </si>
  <si>
    <t>Sales Heads → Executive-level variance</t>
  </si>
  <si>
    <t>Supports robust discussion during budgeting with instant changes to assumptions and scenarios.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</si>
</sst>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1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Quattrocento Sans"/>
    </font>
    <font>
      <sz val="11.0"/>
      <color theme="1"/>
      <name val="Quattrocento Sans"/>
    </font>
    <font>
      <color theme="1"/>
      <name val="Aptos Narrow"/>
      <scheme val="minor"/>
    </font>
    <font>
      <b/>
      <sz val="11.0"/>
      <color theme="1"/>
      <name val="Aptos Narrow"/>
    </font>
    <font>
      <sz val="12.0"/>
      <color theme="1"/>
      <name val="Aptos Narrow"/>
    </font>
    <font>
      <color theme="1"/>
      <name val="Arial"/>
    </font>
    <font>
      <sz val="10.0"/>
      <color theme="1"/>
      <name val="Aptos Narrow"/>
    </font>
    <font>
      <b/>
      <sz val="12.0"/>
      <color theme="1"/>
      <name val="Play"/>
    </font>
    <font>
      <b/>
      <sz val="11.0"/>
      <color theme="1"/>
      <name val="Play"/>
    </font>
    <font>
      <sz val="12.0"/>
      <color theme="1"/>
      <name val="Play"/>
    </font>
    <font>
      <sz val="11.0"/>
      <color theme="1"/>
      <name val="Play"/>
    </font>
    <font>
      <sz val="10.0"/>
      <color theme="1"/>
      <name val="Play"/>
    </font>
    <font>
      <b/>
      <sz val="11.0"/>
      <color theme="1"/>
      <name val="Arial"/>
    </font>
    <font>
      <b/>
      <sz val="12.0"/>
      <color theme="1"/>
      <name val="Aptos Narrow"/>
    </font>
    <font>
      <sz val="12.0"/>
      <color theme="1"/>
      <name val="Aptos"/>
    </font>
    <font>
      <b/>
      <sz val="18.0"/>
      <color theme="1"/>
      <name val="Aptos"/>
    </font>
    <font/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E6E6E6"/>
      </left>
      <right style="medium">
        <color rgb="FFE6E6E6"/>
      </right>
      <top style="medium">
        <color rgb="FFE6E6E6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vertical="center"/>
    </xf>
    <xf borderId="0" fillId="0" fontId="1" numFmtId="0" xfId="0" applyFont="1"/>
    <xf borderId="4" fillId="0" fontId="1" numFmtId="0" xfId="0" applyBorder="1" applyFont="1"/>
    <xf borderId="5" fillId="0" fontId="1" numFmtId="0" xfId="0" applyBorder="1" applyFont="1"/>
    <xf borderId="6" fillId="0" fontId="3" numFmtId="0" xfId="0" applyAlignment="1" applyBorder="1" applyFont="1">
      <alignment vertical="center"/>
    </xf>
    <xf borderId="6" fillId="2" fontId="2" numFmtId="0" xfId="0" applyAlignment="1" applyBorder="1" applyFont="1">
      <alignment horizontal="center" vertical="center"/>
    </xf>
    <xf borderId="0" fillId="0" fontId="4" numFmtId="0" xfId="0" applyFont="1"/>
    <xf borderId="6" fillId="0" fontId="3" numFmtId="9" xfId="0" applyAlignment="1" applyBorder="1" applyFont="1" applyNumberFormat="1">
      <alignment vertical="center"/>
    </xf>
    <xf borderId="6" fillId="0" fontId="2" numFmtId="9" xfId="0" applyAlignment="1" applyBorder="1" applyFont="1" applyNumberFormat="1">
      <alignment vertical="center"/>
    </xf>
    <xf borderId="5" fillId="0" fontId="1" numFmtId="9" xfId="0" applyBorder="1" applyFont="1" applyNumberFormat="1"/>
    <xf borderId="6" fillId="0" fontId="1" numFmtId="9" xfId="0" applyBorder="1" applyFont="1" applyNumberFormat="1"/>
    <xf borderId="6" fillId="0" fontId="3" numFmtId="164" xfId="0" applyAlignment="1" applyBorder="1" applyFont="1" applyNumberFormat="1">
      <alignment vertical="center"/>
    </xf>
    <xf borderId="5" fillId="0" fontId="1" numFmtId="164" xfId="0" applyBorder="1" applyFont="1" applyNumberFormat="1"/>
    <xf borderId="0" fillId="0" fontId="5" numFmtId="0" xfId="0" applyFont="1"/>
    <xf borderId="7" fillId="0" fontId="1" numFmtId="0" xfId="0" applyBorder="1" applyFont="1"/>
    <xf borderId="8" fillId="0" fontId="1" numFmtId="0" xfId="0" applyBorder="1" applyFont="1"/>
    <xf borderId="6" fillId="0" fontId="3" numFmtId="10" xfId="0" applyAlignment="1" applyBorder="1" applyFont="1" applyNumberFormat="1">
      <alignment vertical="center"/>
    </xf>
    <xf borderId="6" fillId="0" fontId="1" numFmtId="9" xfId="0" applyAlignment="1" applyBorder="1" applyFont="1" applyNumberFormat="1">
      <alignment shrinkToFit="0" vertical="center" wrapText="1"/>
    </xf>
    <xf borderId="6" fillId="0" fontId="5" numFmtId="0" xfId="0" applyBorder="1" applyFont="1"/>
    <xf borderId="6" fillId="0" fontId="1" numFmtId="0" xfId="0" applyBorder="1" applyFont="1"/>
    <xf borderId="6" fillId="0" fontId="1" numFmtId="164" xfId="0" applyBorder="1" applyFont="1" applyNumberFormat="1"/>
    <xf borderId="6" fillId="0" fontId="1" numFmtId="0" xfId="0" applyAlignment="1" applyBorder="1" applyFont="1">
      <alignment shrinkToFit="0" wrapText="1"/>
    </xf>
    <xf borderId="6" fillId="0" fontId="1" numFmtId="9" xfId="0" applyAlignment="1" applyBorder="1" applyFont="1" applyNumberFormat="1">
      <alignment shrinkToFit="0" wrapText="1"/>
    </xf>
    <xf borderId="6" fillId="0" fontId="1" numFmtId="1" xfId="0" applyBorder="1" applyFont="1" applyNumberFormat="1"/>
    <xf borderId="9" fillId="2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0" fontId="3" numFmtId="17" xfId="0" applyAlignment="1" applyBorder="1" applyFont="1" applyNumberFormat="1">
      <alignment shrinkToFit="0" vertical="center" wrapText="1"/>
    </xf>
    <xf borderId="1" fillId="0" fontId="6" numFmtId="0" xfId="0" applyBorder="1" applyFont="1"/>
    <xf borderId="0" fillId="0" fontId="7" numFmtId="0" xfId="0" applyAlignment="1" applyFont="1">
      <alignment readingOrder="0"/>
    </xf>
    <xf borderId="10" fillId="0" fontId="1" numFmtId="0" xfId="0" applyBorder="1" applyFont="1"/>
    <xf borderId="7" fillId="0" fontId="6" numFmtId="0" xfId="0" applyBorder="1" applyFont="1"/>
    <xf borderId="11" fillId="0" fontId="8" numFmtId="164" xfId="0" applyAlignment="1" applyBorder="1" applyFont="1" applyNumberFormat="1">
      <alignment vertical="center"/>
    </xf>
    <xf borderId="11" fillId="0" fontId="1" numFmtId="164" xfId="0" applyBorder="1" applyFont="1" applyNumberFormat="1"/>
    <xf borderId="8" fillId="0" fontId="1" numFmtId="164" xfId="0" applyBorder="1" applyFont="1" applyNumberFormat="1"/>
    <xf borderId="12" fillId="0" fontId="1" numFmtId="0" xfId="0" applyBorder="1" applyFont="1"/>
    <xf borderId="4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11" fillId="0" fontId="1" numFmtId="0" xfId="0" applyBorder="1" applyFont="1"/>
    <xf borderId="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1" numFmtId="164" xfId="0" applyFont="1" applyNumberFormat="1"/>
    <xf borderId="6" fillId="0" fontId="8" numFmtId="164" xfId="0" applyAlignment="1" applyBorder="1" applyFont="1" applyNumberFormat="1">
      <alignment vertical="center"/>
    </xf>
    <xf borderId="4" fillId="0" fontId="6" numFmtId="0" xfId="0" applyBorder="1" applyFont="1"/>
    <xf borderId="13" fillId="0" fontId="1" numFmtId="0" xfId="0" applyBorder="1" applyFont="1"/>
    <xf borderId="8" fillId="0" fontId="8" numFmtId="164" xfId="0" applyAlignment="1" applyBorder="1" applyFont="1" applyNumberFormat="1">
      <alignment vertical="center"/>
    </xf>
    <xf borderId="6" fillId="0" fontId="6" numFmtId="0" xfId="0" applyBorder="1" applyFont="1"/>
    <xf borderId="6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5" fillId="0" fontId="8" numFmtId="164" xfId="0" applyAlignment="1" applyBorder="1" applyFont="1" applyNumberFormat="1">
      <alignment vertical="center"/>
    </xf>
    <xf borderId="6" fillId="0" fontId="8" numFmtId="164" xfId="0" applyBorder="1" applyFont="1" applyNumberFormat="1"/>
    <xf borderId="5" fillId="0" fontId="8" numFmtId="164" xfId="0" applyBorder="1" applyFont="1" applyNumberFormat="1"/>
    <xf borderId="11" fillId="0" fontId="8" numFmtId="164" xfId="0" applyBorder="1" applyFont="1" applyNumberFormat="1"/>
    <xf borderId="8" fillId="0" fontId="8" numFmtId="164" xfId="0" applyBorder="1" applyFont="1" applyNumberFormat="1"/>
    <xf borderId="6" fillId="0" fontId="1" numFmtId="10" xfId="0" applyBorder="1" applyFont="1" applyNumberFormat="1"/>
    <xf borderId="9" fillId="2" fontId="2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" fillId="0" fontId="9" numFmtId="0" xfId="0" applyBorder="1" applyFont="1"/>
    <xf borderId="10" fillId="0" fontId="10" numFmtId="0" xfId="0" applyBorder="1" applyFont="1"/>
    <xf borderId="2" fillId="0" fontId="10" numFmtId="0" xfId="0" applyBorder="1" applyFont="1"/>
    <xf borderId="4" fillId="0" fontId="11" numFmtId="0" xfId="0" applyBorder="1" applyFont="1"/>
    <xf borderId="6" fillId="0" fontId="12" numFmtId="0" xfId="0" applyBorder="1" applyFont="1"/>
    <xf borderId="6" fillId="0" fontId="12" numFmtId="164" xfId="0" applyBorder="1" applyFont="1" applyNumberFormat="1"/>
    <xf borderId="5" fillId="0" fontId="12" numFmtId="164" xfId="0" applyBorder="1" applyFont="1" applyNumberFormat="1"/>
    <xf borderId="6" fillId="0" fontId="13" numFmtId="164" xfId="0" applyAlignment="1" applyBorder="1" applyFont="1" applyNumberFormat="1">
      <alignment vertical="center"/>
    </xf>
    <xf borderId="5" fillId="0" fontId="13" numFmtId="164" xfId="0" applyAlignment="1" applyBorder="1" applyFont="1" applyNumberFormat="1">
      <alignment vertical="center"/>
    </xf>
    <xf borderId="7" fillId="0" fontId="12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6" fillId="0" fontId="3" numFmtId="164" xfId="0" applyAlignment="1" applyBorder="1" applyFont="1" applyNumberFormat="1">
      <alignment shrinkToFit="0" vertical="center" wrapText="1"/>
    </xf>
    <xf borderId="14" fillId="0" fontId="14" numFmtId="0" xfId="0" applyAlignment="1" applyBorder="1" applyFont="1">
      <alignment readingOrder="0"/>
    </xf>
    <xf borderId="1" fillId="0" fontId="15" numFmtId="0" xfId="0" applyBorder="1" applyFont="1"/>
    <xf borderId="10" fillId="0" fontId="15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6" fillId="0" fontId="8" numFmtId="164" xfId="0" applyAlignment="1" applyBorder="1" applyFont="1" applyNumberFormat="1">
      <alignment shrinkToFit="0" vertical="center" wrapText="1"/>
    </xf>
    <xf borderId="5" fillId="0" fontId="8" numFmtId="9" xfId="0" applyAlignment="1" applyBorder="1" applyFont="1" applyNumberFormat="1">
      <alignment vertical="center"/>
    </xf>
    <xf borderId="11" fillId="0" fontId="8" numFmtId="164" xfId="0" applyAlignment="1" applyBorder="1" applyFont="1" applyNumberFormat="1">
      <alignment shrinkToFit="0" vertical="center" wrapText="1"/>
    </xf>
    <xf borderId="8" fillId="0" fontId="8" numFmtId="9" xfId="0" applyAlignment="1" applyBorder="1" applyFont="1" applyNumberFormat="1">
      <alignment vertical="center"/>
    </xf>
    <xf borderId="1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6" fillId="0" fontId="1" numFmtId="164" xfId="0" applyAlignment="1" applyBorder="1" applyFont="1" applyNumberFormat="1">
      <alignment vertical="center"/>
    </xf>
    <xf borderId="5" fillId="0" fontId="16" numFmtId="0" xfId="0" applyAlignment="1" applyBorder="1" applyFont="1">
      <alignment vertical="center"/>
    </xf>
    <xf borderId="11" fillId="0" fontId="1" numFmtId="164" xfId="0" applyAlignment="1" applyBorder="1" applyFont="1" applyNumberFormat="1">
      <alignment vertical="center"/>
    </xf>
    <xf borderId="11" fillId="0" fontId="1" numFmtId="10" xfId="0" applyBorder="1" applyFont="1" applyNumberFormat="1"/>
    <xf borderId="8" fillId="0" fontId="16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1" numFmtId="10" xfId="0" applyFont="1" applyNumberFormat="1"/>
    <xf borderId="15" fillId="3" fontId="17" numFmtId="0" xfId="0" applyAlignment="1" applyBorder="1" applyFill="1" applyFont="1">
      <alignment horizontal="center"/>
    </xf>
    <xf borderId="16" fillId="0" fontId="18" numFmtId="0" xfId="0" applyBorder="1" applyFont="1"/>
    <xf borderId="17" fillId="0" fontId="18" numFmtId="0" xfId="0" applyBorder="1" applyFont="1"/>
    <xf borderId="18" fillId="0" fontId="18" numFmtId="0" xfId="0" applyBorder="1" applyFont="1"/>
    <xf borderId="19" fillId="0" fontId="18" numFmtId="0" xfId="0" applyBorder="1" applyFont="1"/>
    <xf borderId="20" fillId="0" fontId="18" numFmtId="0" xfId="0" applyBorder="1" applyFont="1"/>
    <xf borderId="1" fillId="0" fontId="5" numFmtId="0" xfId="0" applyBorder="1" applyFont="1"/>
    <xf borderId="8" fillId="0" fontId="1" numFmtId="10" xfId="0" applyBorder="1" applyFont="1" applyNumberFormat="1"/>
    <xf borderId="21" fillId="3" fontId="5" numFmtId="0" xfId="0" applyBorder="1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Costs Pie Chart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Costs!$A$2:$A$7</c:f>
            </c:strRef>
          </c:cat>
          <c:val>
            <c:numRef>
              <c:f>Costs!$N$2:$N$7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Revenue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Revenue!$B$2:$M$2</c:f>
            </c:strRef>
          </c:cat>
          <c:val>
            <c:numRef>
              <c:f>Revenue!$B$3:$M$3</c:f>
              <c:numCache/>
            </c:numRef>
          </c:val>
          <c:smooth val="0"/>
        </c:ser>
        <c:axId val="251934620"/>
        <c:axId val="1572838757"/>
      </c:lineChart>
      <c:catAx>
        <c:axId val="251934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2838757"/>
      </c:catAx>
      <c:valAx>
        <c:axId val="1572838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19346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P&amp;L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'P&amp;L'!$B$1:$M$1</c:f>
            </c:strRef>
          </c:cat>
          <c:val>
            <c:numRef>
              <c:f>'P&amp;L'!$B$4:$M$4</c:f>
              <c:numCache/>
            </c:numRef>
          </c:val>
          <c:smooth val="0"/>
        </c:ser>
        <c:axId val="1652139765"/>
        <c:axId val="111535413"/>
      </c:lineChart>
      <c:catAx>
        <c:axId val="1652139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535413"/>
      </c:catAx>
      <c:valAx>
        <c:axId val="111535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213976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Region_BU!$A$3:$A$7</c:f>
            </c:strRef>
          </c:cat>
          <c:val>
            <c:numRef>
              <c:f>Region_BU!$G$3:$G$7</c:f>
              <c:numCache/>
            </c:numRef>
          </c:val>
        </c:ser>
        <c:axId val="1699440467"/>
        <c:axId val="730617431"/>
      </c:barChart>
      <c:catAx>
        <c:axId val="169944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0617431"/>
      </c:catAx>
      <c:valAx>
        <c:axId val="730617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440467"/>
      </c:valAx>
    </c:plotArea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19</xdr:row>
      <xdr:rowOff>161925</xdr:rowOff>
    </xdr:from>
    <xdr:ext cx="5143500" cy="2838450"/>
    <xdr:graphicFrame>
      <xdr:nvGraphicFramePr>
        <xdr:cNvPr id="3577868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4</xdr:row>
      <xdr:rowOff>0</xdr:rowOff>
    </xdr:from>
    <xdr:ext cx="4905375" cy="2733675"/>
    <xdr:graphicFrame>
      <xdr:nvGraphicFramePr>
        <xdr:cNvPr id="166030600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4905375" cy="2733675"/>
    <xdr:graphicFrame>
      <xdr:nvGraphicFramePr>
        <xdr:cNvPr id="171179555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20</xdr:row>
      <xdr:rowOff>19050</xdr:rowOff>
    </xdr:from>
    <xdr:ext cx="4905375" cy="2695575"/>
    <xdr:graphicFrame>
      <xdr:nvGraphicFramePr>
        <xdr:cNvPr id="205778383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9.13"/>
    <col customWidth="1" min="3" max="3" width="9.63"/>
    <col customWidth="1" min="4" max="4" width="35.75"/>
    <col customWidth="1" min="5" max="5" width="13.75"/>
    <col customWidth="1" min="6" max="6" width="8.63"/>
    <col customWidth="1" min="7" max="7" width="11.75"/>
    <col customWidth="1" min="8" max="8" width="10.75"/>
    <col customWidth="1" min="9" max="9" width="30.25"/>
    <col customWidth="1" min="10" max="26" width="8.63"/>
  </cols>
  <sheetData>
    <row r="1" ht="14.25" customHeight="1">
      <c r="A1" s="1" t="s">
        <v>0</v>
      </c>
      <c r="B1" s="2">
        <v>50.0</v>
      </c>
      <c r="D1" s="3"/>
      <c r="E1" s="4"/>
    </row>
    <row r="2" ht="14.25" customHeight="1">
      <c r="A2" s="5" t="s">
        <v>1</v>
      </c>
      <c r="B2" s="6">
        <v>8.0</v>
      </c>
      <c r="D2" s="7" t="s">
        <v>2</v>
      </c>
      <c r="E2" s="7" t="s">
        <v>3</v>
      </c>
      <c r="G2" s="8" t="s">
        <v>4</v>
      </c>
      <c r="H2" s="8" t="s">
        <v>5</v>
      </c>
      <c r="I2" s="8" t="s">
        <v>6</v>
      </c>
    </row>
    <row r="3" ht="14.25" customHeight="1">
      <c r="A3" s="5" t="s">
        <v>7</v>
      </c>
      <c r="B3" s="9">
        <v>3000.0</v>
      </c>
      <c r="D3" s="7" t="s">
        <v>8</v>
      </c>
      <c r="E3" s="10">
        <v>0.05</v>
      </c>
      <c r="G3" s="8" t="s">
        <v>9</v>
      </c>
      <c r="H3" s="11">
        <v>0.03</v>
      </c>
      <c r="I3" s="7" t="s">
        <v>10</v>
      </c>
    </row>
    <row r="4" ht="14.25" customHeight="1">
      <c r="A4" s="5" t="s">
        <v>8</v>
      </c>
      <c r="B4" s="12">
        <f t="array" ref="B4">XLOOKUP(Revenue!B1, G3:G5, H3:H5)</f>
        <v>0.05</v>
      </c>
      <c r="D4" s="7" t="s">
        <v>11</v>
      </c>
      <c r="E4" s="13">
        <v>0.1</v>
      </c>
      <c r="G4" s="8" t="s">
        <v>12</v>
      </c>
      <c r="H4" s="11">
        <v>0.05</v>
      </c>
      <c r="I4" s="7" t="s">
        <v>13</v>
      </c>
    </row>
    <row r="5" ht="14.25" customHeight="1">
      <c r="A5" s="5" t="s">
        <v>11</v>
      </c>
      <c r="B5" s="12">
        <v>0.1</v>
      </c>
      <c r="D5" s="7" t="s">
        <v>14</v>
      </c>
      <c r="E5" s="14">
        <f t="shared" ref="E5:E9" si="1">B6</f>
        <v>50000</v>
      </c>
      <c r="G5" s="8" t="s">
        <v>15</v>
      </c>
      <c r="H5" s="11">
        <v>0.07</v>
      </c>
      <c r="I5" s="7" t="s">
        <v>16</v>
      </c>
    </row>
    <row r="6" ht="14.25" customHeight="1">
      <c r="A6" s="5" t="s">
        <v>14</v>
      </c>
      <c r="B6" s="15">
        <v>50000.0</v>
      </c>
      <c r="D6" s="7" t="s">
        <v>17</v>
      </c>
      <c r="E6" s="14">
        <f t="shared" si="1"/>
        <v>30000</v>
      </c>
    </row>
    <row r="7" ht="14.25" customHeight="1">
      <c r="A7" s="5" t="s">
        <v>17</v>
      </c>
      <c r="B7" s="15">
        <v>30000.0</v>
      </c>
      <c r="D7" s="7" t="s">
        <v>18</v>
      </c>
      <c r="E7" s="14">
        <f t="shared" si="1"/>
        <v>1200</v>
      </c>
      <c r="G7" s="16" t="s">
        <v>19</v>
      </c>
    </row>
    <row r="8" ht="14.25" customHeight="1">
      <c r="A8" s="5" t="s">
        <v>18</v>
      </c>
      <c r="B8" s="15">
        <v>1200.0</v>
      </c>
      <c r="D8" s="7" t="s">
        <v>20</v>
      </c>
      <c r="E8" s="14">
        <f t="shared" si="1"/>
        <v>3000</v>
      </c>
    </row>
    <row r="9" ht="14.25" customHeight="1">
      <c r="A9" s="5" t="s">
        <v>20</v>
      </c>
      <c r="B9" s="15">
        <v>3000.0</v>
      </c>
      <c r="D9" s="7" t="s">
        <v>21</v>
      </c>
      <c r="E9" s="14">
        <f t="shared" si="1"/>
        <v>1000</v>
      </c>
    </row>
    <row r="10" ht="14.25" customHeight="1">
      <c r="A10" s="5" t="s">
        <v>21</v>
      </c>
      <c r="B10" s="15">
        <v>1000.0</v>
      </c>
      <c r="D10" s="7" t="s">
        <v>22</v>
      </c>
      <c r="E10" s="7">
        <f t="shared" ref="E10:E11" si="2">B22</f>
        <v>45</v>
      </c>
    </row>
    <row r="11" ht="14.25" customHeight="1">
      <c r="A11" s="5" t="s">
        <v>23</v>
      </c>
      <c r="B11" s="6">
        <v>1000.0</v>
      </c>
      <c r="D11" s="7" t="s">
        <v>24</v>
      </c>
      <c r="E11" s="7">
        <f t="shared" si="2"/>
        <v>30</v>
      </c>
    </row>
    <row r="12" ht="14.25" customHeight="1">
      <c r="A12" s="17" t="s">
        <v>25</v>
      </c>
      <c r="B12" s="18">
        <v>10.0</v>
      </c>
      <c r="D12" s="7" t="s">
        <v>26</v>
      </c>
      <c r="E12" s="19">
        <v>0.25</v>
      </c>
    </row>
    <row r="13" ht="14.25" customHeight="1">
      <c r="D13" s="7" t="s">
        <v>27</v>
      </c>
      <c r="E13" s="20">
        <v>0.1</v>
      </c>
    </row>
    <row r="14" ht="14.25" customHeight="1">
      <c r="A14" s="9" t="s">
        <v>28</v>
      </c>
      <c r="B14" s="9" t="s">
        <v>29</v>
      </c>
      <c r="D14" s="7" t="s">
        <v>30</v>
      </c>
      <c r="E14" s="10">
        <v>0.08</v>
      </c>
    </row>
    <row r="15" ht="14.25" customHeight="1">
      <c r="A15" s="21" t="s">
        <v>31</v>
      </c>
      <c r="B15" s="21" t="s">
        <v>32</v>
      </c>
      <c r="D15" s="22" t="s">
        <v>33</v>
      </c>
      <c r="E15" s="22">
        <f>B1*B2</f>
        <v>400</v>
      </c>
    </row>
    <row r="16" ht="14.25" customHeight="1">
      <c r="A16" s="22" t="s">
        <v>34</v>
      </c>
      <c r="B16" s="13">
        <v>0.25</v>
      </c>
      <c r="D16" s="22" t="s">
        <v>7</v>
      </c>
      <c r="E16" s="22">
        <v>3000.0</v>
      </c>
    </row>
    <row r="17" ht="14.25" customHeight="1">
      <c r="A17" s="22" t="s">
        <v>35</v>
      </c>
      <c r="B17" s="13">
        <v>0.2</v>
      </c>
      <c r="D17" s="22" t="s">
        <v>36</v>
      </c>
      <c r="E17" s="14">
        <f>E15*E16</f>
        <v>1200000</v>
      </c>
    </row>
    <row r="18" ht="14.25" customHeight="1">
      <c r="A18" s="22" t="s">
        <v>37</v>
      </c>
      <c r="B18" s="13">
        <v>0.18</v>
      </c>
    </row>
    <row r="19" ht="14.25" customHeight="1">
      <c r="A19" s="22" t="s">
        <v>38</v>
      </c>
      <c r="B19" s="13">
        <v>0.22</v>
      </c>
      <c r="D19" s="22" t="s">
        <v>39</v>
      </c>
      <c r="E19" s="22">
        <f t="array" ref="E19">SUM(B8:B12*1000)</f>
        <v>6210000</v>
      </c>
    </row>
    <row r="20" ht="14.25" customHeight="1">
      <c r="A20" s="22" t="s">
        <v>40</v>
      </c>
      <c r="B20" s="13">
        <v>0.15</v>
      </c>
      <c r="D20" s="22" t="s">
        <v>41</v>
      </c>
      <c r="E20" s="23">
        <f t="shared" ref="E20:E21" si="3">B6</f>
        <v>50000</v>
      </c>
    </row>
    <row r="21" ht="14.25" customHeight="1">
      <c r="A21" s="22" t="s">
        <v>42</v>
      </c>
      <c r="B21" s="13">
        <f>SUM(B16:B20)</f>
        <v>1</v>
      </c>
      <c r="D21" s="22" t="s">
        <v>43</v>
      </c>
      <c r="E21" s="23">
        <f t="shared" si="3"/>
        <v>30000</v>
      </c>
    </row>
    <row r="22" ht="14.25" customHeight="1">
      <c r="A22" s="24" t="s">
        <v>22</v>
      </c>
      <c r="B22" s="24">
        <v>45.0</v>
      </c>
      <c r="D22" s="22" t="s">
        <v>44</v>
      </c>
      <c r="E22" s="23">
        <f>B5*E17</f>
        <v>120000</v>
      </c>
    </row>
    <row r="23" ht="14.25" customHeight="1">
      <c r="A23" s="24" t="s">
        <v>24</v>
      </c>
      <c r="B23" s="24">
        <v>30.0</v>
      </c>
    </row>
    <row r="24" ht="14.25" customHeight="1">
      <c r="A24" s="24" t="s">
        <v>26</v>
      </c>
      <c r="B24" s="25">
        <v>0.25</v>
      </c>
    </row>
    <row r="25" ht="14.25" customHeight="1">
      <c r="A25" s="24" t="s">
        <v>27</v>
      </c>
      <c r="B25" s="25">
        <v>0.1</v>
      </c>
    </row>
    <row r="26" ht="14.25" customHeight="1">
      <c r="A26" s="24" t="s">
        <v>30</v>
      </c>
      <c r="B26" s="13">
        <v>0.08</v>
      </c>
    </row>
    <row r="27" ht="14.25" customHeight="1">
      <c r="A27" s="24" t="s">
        <v>4</v>
      </c>
      <c r="B27" s="22" t="s">
        <v>12</v>
      </c>
    </row>
    <row r="28" ht="14.25" customHeight="1"/>
    <row r="29" ht="14.25" customHeight="1"/>
    <row r="30" ht="14.25" customHeight="1">
      <c r="A30" s="22" t="s">
        <v>45</v>
      </c>
      <c r="B30" s="22" t="s">
        <v>46</v>
      </c>
      <c r="C30" s="22" t="s">
        <v>47</v>
      </c>
    </row>
    <row r="31" ht="14.25" customHeight="1">
      <c r="A31" s="22" t="s">
        <v>0</v>
      </c>
      <c r="B31" s="22">
        <v>50.0</v>
      </c>
      <c r="C31" s="23">
        <f t="shared" ref="C31:C33" si="4">B8</f>
        <v>1200</v>
      </c>
    </row>
    <row r="32" ht="14.25" customHeight="1">
      <c r="A32" s="22" t="s">
        <v>48</v>
      </c>
      <c r="B32" s="26">
        <v>10.0</v>
      </c>
      <c r="C32" s="23">
        <f t="shared" si="4"/>
        <v>3000</v>
      </c>
    </row>
    <row r="33" ht="14.25" customHeight="1">
      <c r="A33" s="22" t="s">
        <v>49</v>
      </c>
      <c r="B33" s="26">
        <v>800.0</v>
      </c>
      <c r="C33" s="23">
        <f t="shared" si="4"/>
        <v>1000</v>
      </c>
    </row>
    <row r="34" ht="14.25" customHeight="1">
      <c r="A34" s="22" t="s">
        <v>50</v>
      </c>
      <c r="B34" s="26">
        <v>50.0</v>
      </c>
      <c r="C34" s="23">
        <f>B10</f>
        <v>1000</v>
      </c>
    </row>
    <row r="35" ht="14.25" customHeight="1">
      <c r="A35" s="22" t="s">
        <v>51</v>
      </c>
      <c r="B35" s="26">
        <v>40.0</v>
      </c>
      <c r="C35" s="23">
        <f>B10</f>
        <v>1000</v>
      </c>
    </row>
    <row r="36" ht="14.25" customHeight="1">
      <c r="A36" s="22" t="s">
        <v>52</v>
      </c>
      <c r="B36" s="26">
        <v>50.0</v>
      </c>
      <c r="C36" s="23">
        <f>B10</f>
        <v>1000</v>
      </c>
    </row>
    <row r="37" ht="14.25" customHeight="1">
      <c r="A37" s="22" t="s">
        <v>53</v>
      </c>
      <c r="B37" s="22">
        <f>SUM(B31:B36)</f>
        <v>1000</v>
      </c>
      <c r="C37" s="22"/>
    </row>
    <row r="38" ht="14.25" customHeight="1"/>
    <row r="39" ht="14.25" customHeight="1">
      <c r="A39" s="22" t="s">
        <v>54</v>
      </c>
      <c r="B39" s="22" t="str">
        <f>IF(B37=B11,"OK","ERROR")</f>
        <v>OK</v>
      </c>
    </row>
    <row r="40" ht="14.25" customHeight="1"/>
    <row r="41" ht="14.25" customHeight="1">
      <c r="A41" s="22" t="s">
        <v>55</v>
      </c>
    </row>
    <row r="42" ht="14.25" customHeight="1">
      <c r="A42" s="22" t="s">
        <v>56</v>
      </c>
    </row>
    <row r="43" ht="14.25" customHeight="1">
      <c r="A43" s="22" t="s">
        <v>57</v>
      </c>
    </row>
    <row r="44" ht="14.25" customHeight="1">
      <c r="A44" s="22" t="s">
        <v>58</v>
      </c>
    </row>
    <row r="45" ht="14.25" customHeight="1">
      <c r="A45" s="22" t="s">
        <v>59</v>
      </c>
    </row>
    <row r="46" ht="14.25" customHeight="1">
      <c r="A46" s="22" t="s">
        <v>60</v>
      </c>
    </row>
    <row r="47" ht="14.25" customHeight="1"/>
    <row r="48" ht="14.25" customHeight="1">
      <c r="A48" s="27"/>
      <c r="B48" s="27"/>
    </row>
    <row r="49" ht="14.25" customHeight="1">
      <c r="A49" s="28"/>
      <c r="B49" s="29"/>
    </row>
    <row r="50" ht="14.25" customHeight="1">
      <c r="A50" s="28"/>
      <c r="B50" s="29"/>
    </row>
    <row r="51" ht="14.25" customHeight="1">
      <c r="A51" s="28"/>
      <c r="B51" s="28"/>
    </row>
    <row r="52" ht="14.25" customHeight="1"/>
    <row r="53" ht="14.25" customHeight="1">
      <c r="A53" s="27"/>
      <c r="B53" s="27"/>
    </row>
    <row r="54" ht="14.25" customHeight="1">
      <c r="A54" s="28"/>
      <c r="B54" s="28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13"/>
    <col customWidth="1" min="3" max="13" width="12.88"/>
    <col customWidth="1" min="14" max="26" width="8.63"/>
  </cols>
  <sheetData>
    <row r="1" ht="14.25" customHeight="1">
      <c r="A1" s="30" t="s">
        <v>61</v>
      </c>
      <c r="B1" s="31" t="s">
        <v>12</v>
      </c>
    </row>
    <row r="2" ht="14.25" customHeight="1">
      <c r="A2" s="30" t="s">
        <v>62</v>
      </c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2" t="s">
        <v>70</v>
      </c>
      <c r="J2" s="32" t="s">
        <v>71</v>
      </c>
      <c r="K2" s="32" t="s">
        <v>72</v>
      </c>
      <c r="L2" s="32" t="s">
        <v>73</v>
      </c>
      <c r="M2" s="2" t="s">
        <v>74</v>
      </c>
    </row>
    <row r="3" ht="14.25" customHeight="1">
      <c r="A3" s="33" t="s">
        <v>75</v>
      </c>
      <c r="B3" s="34">
        <f>Assumptions!B1*Assumptions!B2*Assumptions!B3</f>
        <v>1200000</v>
      </c>
      <c r="C3" s="35">
        <f>B3*(1+Assumptions!$B$4)</f>
        <v>1260000</v>
      </c>
      <c r="D3" s="35">
        <f>C3*(1+Assumptions!$B$4)</f>
        <v>1323000</v>
      </c>
      <c r="E3" s="35">
        <f>D3*(1+Assumptions!$B$4)</f>
        <v>1389150</v>
      </c>
      <c r="F3" s="35">
        <f>E3*(1+Assumptions!$B$4)</f>
        <v>1458607.5</v>
      </c>
      <c r="G3" s="35">
        <f>F3*(1+Assumptions!$B$4)</f>
        <v>1531537.875</v>
      </c>
      <c r="H3" s="35">
        <f>G3*(1+Assumptions!$B$4)</f>
        <v>1608114.769</v>
      </c>
      <c r="I3" s="35">
        <f>H3*(1+Assumptions!$B$4)</f>
        <v>1688520.507</v>
      </c>
      <c r="J3" s="35">
        <f>I3*(1+Assumptions!$B$4)</f>
        <v>1772946.533</v>
      </c>
      <c r="K3" s="35">
        <f>J3*(1+Assumptions!$B$4)</f>
        <v>1861593.859</v>
      </c>
      <c r="L3" s="35">
        <f>K3*(1+Assumptions!$B$4)</f>
        <v>1954673.552</v>
      </c>
      <c r="M3" s="36">
        <f>L3*(1+Assumptions!$B$4)</f>
        <v>2052407.23</v>
      </c>
    </row>
    <row r="4" ht="14.25" customHeight="1"/>
    <row r="5" ht="14.25" customHeight="1">
      <c r="A5" s="37" t="s">
        <v>76</v>
      </c>
    </row>
    <row r="6" ht="14.25" customHeight="1">
      <c r="A6" s="1" t="s">
        <v>31</v>
      </c>
      <c r="B6" s="32" t="s">
        <v>63</v>
      </c>
      <c r="C6" s="32" t="s">
        <v>64</v>
      </c>
      <c r="D6" s="32" t="s">
        <v>65</v>
      </c>
      <c r="E6" s="32" t="s">
        <v>66</v>
      </c>
      <c r="F6" s="32" t="s">
        <v>67</v>
      </c>
      <c r="G6" s="32" t="s">
        <v>68</v>
      </c>
      <c r="H6" s="32" t="s">
        <v>69</v>
      </c>
      <c r="I6" s="32" t="s">
        <v>70</v>
      </c>
      <c r="J6" s="32" t="s">
        <v>71</v>
      </c>
      <c r="K6" s="32" t="s">
        <v>72</v>
      </c>
      <c r="L6" s="32" t="s">
        <v>73</v>
      </c>
      <c r="M6" s="2" t="s">
        <v>74</v>
      </c>
    </row>
    <row r="7" ht="14.25" customHeight="1">
      <c r="A7" s="38" t="s">
        <v>34</v>
      </c>
      <c r="B7" s="23">
        <f>B$3*Assumptions!$B$16</f>
        <v>300000</v>
      </c>
      <c r="C7" s="23">
        <f>C$3*Assumptions!$B$16</f>
        <v>315000</v>
      </c>
      <c r="D7" s="23">
        <f>D$3*Assumptions!$B$16</f>
        <v>330750</v>
      </c>
      <c r="E7" s="23">
        <f>E$3*Assumptions!$B$16</f>
        <v>347287.5</v>
      </c>
      <c r="F7" s="23">
        <f>F$3*Assumptions!$B$16</f>
        <v>364651.875</v>
      </c>
      <c r="G7" s="23">
        <f>G$3*Assumptions!$B$16</f>
        <v>382884.4688</v>
      </c>
      <c r="H7" s="23">
        <f>H$3*Assumptions!$B$16</f>
        <v>402028.6922</v>
      </c>
      <c r="I7" s="23">
        <f>I$3*Assumptions!$B$16</f>
        <v>422130.1268</v>
      </c>
      <c r="J7" s="23">
        <f>J$3*Assumptions!$B$16</f>
        <v>443236.6331</v>
      </c>
      <c r="K7" s="23">
        <f>K$3*Assumptions!$B$16</f>
        <v>465398.4648</v>
      </c>
      <c r="L7" s="23">
        <f>L$3*Assumptions!$B$16</f>
        <v>488668.388</v>
      </c>
      <c r="M7" s="15">
        <f>M$3*Assumptions!$B$16</f>
        <v>513101.8074</v>
      </c>
    </row>
    <row r="8" ht="14.25" customHeight="1">
      <c r="A8" s="38" t="s">
        <v>35</v>
      </c>
      <c r="B8" s="23">
        <f>B$3*Assumptions!$B$17</f>
        <v>240000</v>
      </c>
      <c r="C8" s="23">
        <f>C$3*Assumptions!$B$17</f>
        <v>252000</v>
      </c>
      <c r="D8" s="23">
        <f>D$3*Assumptions!$B$17</f>
        <v>264600</v>
      </c>
      <c r="E8" s="23">
        <f>E$3*Assumptions!$B$17</f>
        <v>277830</v>
      </c>
      <c r="F8" s="23">
        <f>F$3*Assumptions!$B$17</f>
        <v>291721.5</v>
      </c>
      <c r="G8" s="23">
        <f>G$3*Assumptions!$B$17</f>
        <v>306307.575</v>
      </c>
      <c r="H8" s="23">
        <f>H$3*Assumptions!$B$17</f>
        <v>321622.9538</v>
      </c>
      <c r="I8" s="23">
        <f>I$3*Assumptions!$B$17</f>
        <v>337704.1014</v>
      </c>
      <c r="J8" s="23">
        <f>J$3*Assumptions!$B$17</f>
        <v>354589.3065</v>
      </c>
      <c r="K8" s="23">
        <f>K$3*Assumptions!$B$17</f>
        <v>372318.7718</v>
      </c>
      <c r="L8" s="23">
        <f>L$3*Assumptions!$B$17</f>
        <v>390934.7104</v>
      </c>
      <c r="M8" s="15">
        <f>M$3*Assumptions!$B$17</f>
        <v>410481.4459</v>
      </c>
    </row>
    <row r="9" ht="14.25" customHeight="1">
      <c r="A9" s="38" t="s">
        <v>37</v>
      </c>
      <c r="B9" s="23">
        <f>B$3*Assumptions!$B$18</f>
        <v>216000</v>
      </c>
      <c r="C9" s="23">
        <f>C$3*Assumptions!$B$18</f>
        <v>226800</v>
      </c>
      <c r="D9" s="23">
        <f>D$3*Assumptions!$B$18</f>
        <v>238140</v>
      </c>
      <c r="E9" s="23">
        <f>E$3*Assumptions!$B$18</f>
        <v>250047</v>
      </c>
      <c r="F9" s="23">
        <f>F$3*Assumptions!$B$18</f>
        <v>262549.35</v>
      </c>
      <c r="G9" s="23">
        <f>G$3*Assumptions!$B$18</f>
        <v>275676.8175</v>
      </c>
      <c r="H9" s="23">
        <f>H$3*Assumptions!$B$18</f>
        <v>289460.6584</v>
      </c>
      <c r="I9" s="23">
        <f>I$3*Assumptions!$B$18</f>
        <v>303933.6913</v>
      </c>
      <c r="J9" s="23">
        <f>J$3*Assumptions!$B$18</f>
        <v>319130.3759</v>
      </c>
      <c r="K9" s="23">
        <f>K$3*Assumptions!$B$18</f>
        <v>335086.8947</v>
      </c>
      <c r="L9" s="23">
        <f>L$3*Assumptions!$B$18</f>
        <v>351841.2394</v>
      </c>
      <c r="M9" s="15">
        <f>M$3*Assumptions!$B$18</f>
        <v>369433.3014</v>
      </c>
    </row>
    <row r="10" ht="14.25" customHeight="1">
      <c r="A10" s="38" t="s">
        <v>38</v>
      </c>
      <c r="B10" s="23">
        <f>B$3*Assumptions!$B$19</f>
        <v>264000</v>
      </c>
      <c r="C10" s="23">
        <f>C$3*Assumptions!$B$19</f>
        <v>277200</v>
      </c>
      <c r="D10" s="23">
        <f>D$3*Assumptions!$B$19</f>
        <v>291060</v>
      </c>
      <c r="E10" s="23">
        <f>E$3*Assumptions!$B$19</f>
        <v>305613</v>
      </c>
      <c r="F10" s="23">
        <f>F$3*Assumptions!$B$19</f>
        <v>320893.65</v>
      </c>
      <c r="G10" s="23">
        <f>G$3*Assumptions!$B$19</f>
        <v>336938.3325</v>
      </c>
      <c r="H10" s="23">
        <f>H$3*Assumptions!$B$19</f>
        <v>353785.2491</v>
      </c>
      <c r="I10" s="23">
        <f>I$3*Assumptions!$B$19</f>
        <v>371474.5116</v>
      </c>
      <c r="J10" s="23">
        <f>J$3*Assumptions!$B$19</f>
        <v>390048.2372</v>
      </c>
      <c r="K10" s="23">
        <f>K$3*Assumptions!$B$19</f>
        <v>409550.649</v>
      </c>
      <c r="L10" s="23">
        <f>L$3*Assumptions!$B$19</f>
        <v>430028.1815</v>
      </c>
      <c r="M10" s="15">
        <f>M$3*Assumptions!$B$19</f>
        <v>451529.5905</v>
      </c>
    </row>
    <row r="11" ht="14.25" customHeight="1">
      <c r="A11" s="39" t="s">
        <v>40</v>
      </c>
      <c r="B11" s="35">
        <f>B$3*Assumptions!$B$20</f>
        <v>180000</v>
      </c>
      <c r="C11" s="35">
        <f>C$3*Assumptions!$B$20</f>
        <v>189000</v>
      </c>
      <c r="D11" s="35">
        <f>D$3*Assumptions!$B$20</f>
        <v>198450</v>
      </c>
      <c r="E11" s="35">
        <f>E$3*Assumptions!$B$20</f>
        <v>208372.5</v>
      </c>
      <c r="F11" s="35">
        <f>F$3*Assumptions!$B$20</f>
        <v>218791.125</v>
      </c>
      <c r="G11" s="35">
        <f>G$3*Assumptions!$B$20</f>
        <v>229730.6813</v>
      </c>
      <c r="H11" s="35">
        <f>H$3*Assumptions!$B$20</f>
        <v>241217.2153</v>
      </c>
      <c r="I11" s="35">
        <f>I$3*Assumptions!$B$20</f>
        <v>253278.0761</v>
      </c>
      <c r="J11" s="35">
        <f>J$3*Assumptions!$B$20</f>
        <v>265941.9799</v>
      </c>
      <c r="K11" s="35">
        <f>K$3*Assumptions!$B$20</f>
        <v>279239.0789</v>
      </c>
      <c r="L11" s="35">
        <f>L$3*Assumptions!$B$20</f>
        <v>293201.0328</v>
      </c>
      <c r="M11" s="36">
        <f>M$3*Assumptions!$B$20</f>
        <v>307861.0845</v>
      </c>
    </row>
    <row r="12" ht="14.25" customHeight="1">
      <c r="A12" s="5" t="s">
        <v>77</v>
      </c>
      <c r="B12" s="23">
        <f t="shared" ref="B12:M12" si="1">SUM(B7:B11)</f>
        <v>1200000</v>
      </c>
      <c r="C12" s="23">
        <f t="shared" si="1"/>
        <v>1260000</v>
      </c>
      <c r="D12" s="23">
        <f t="shared" si="1"/>
        <v>1323000</v>
      </c>
      <c r="E12" s="23">
        <f t="shared" si="1"/>
        <v>1389150</v>
      </c>
      <c r="F12" s="23">
        <f t="shared" si="1"/>
        <v>1458607.5</v>
      </c>
      <c r="G12" s="23">
        <f t="shared" si="1"/>
        <v>1531537.875</v>
      </c>
      <c r="H12" s="23">
        <f t="shared" si="1"/>
        <v>1608114.769</v>
      </c>
      <c r="I12" s="23">
        <f t="shared" si="1"/>
        <v>1688520.507</v>
      </c>
      <c r="J12" s="23">
        <f t="shared" si="1"/>
        <v>1772946.533</v>
      </c>
      <c r="K12" s="23">
        <f t="shared" si="1"/>
        <v>1861593.859</v>
      </c>
      <c r="L12" s="23">
        <f t="shared" si="1"/>
        <v>1954673.552</v>
      </c>
      <c r="M12" s="15">
        <f t="shared" si="1"/>
        <v>2052407.23</v>
      </c>
    </row>
    <row r="13" ht="14.25" customHeight="1">
      <c r="A13" s="17" t="s">
        <v>78</v>
      </c>
      <c r="B13" s="40" t="str">
        <f t="shared" ref="B13:M13" si="2">IF(B12=B3,"OK","ERROR")</f>
        <v>OK</v>
      </c>
      <c r="C13" s="40" t="str">
        <f t="shared" si="2"/>
        <v>OK</v>
      </c>
      <c r="D13" s="40" t="str">
        <f t="shared" si="2"/>
        <v>OK</v>
      </c>
      <c r="E13" s="40" t="str">
        <f t="shared" si="2"/>
        <v>OK</v>
      </c>
      <c r="F13" s="40" t="str">
        <f t="shared" si="2"/>
        <v>OK</v>
      </c>
      <c r="G13" s="40" t="str">
        <f t="shared" si="2"/>
        <v>OK</v>
      </c>
      <c r="H13" s="40" t="str">
        <f t="shared" si="2"/>
        <v>OK</v>
      </c>
      <c r="I13" s="40" t="str">
        <f t="shared" si="2"/>
        <v>OK</v>
      </c>
      <c r="J13" s="40" t="str">
        <f t="shared" si="2"/>
        <v>OK</v>
      </c>
      <c r="K13" s="40" t="str">
        <f t="shared" si="2"/>
        <v>OK</v>
      </c>
      <c r="L13" s="40" t="str">
        <f t="shared" si="2"/>
        <v>OK</v>
      </c>
      <c r="M13" s="18" t="str">
        <f t="shared" si="2"/>
        <v>OK</v>
      </c>
    </row>
    <row r="14" ht="14.25" customHeight="1"/>
    <row r="15" ht="14.25" customHeight="1"/>
    <row r="16" ht="14.25" customHeight="1">
      <c r="A16" s="30" t="s">
        <v>62</v>
      </c>
      <c r="B16" s="32" t="s">
        <v>63</v>
      </c>
      <c r="C16" s="32" t="s">
        <v>64</v>
      </c>
      <c r="D16" s="32" t="s">
        <v>65</v>
      </c>
      <c r="E16" s="32" t="s">
        <v>66</v>
      </c>
      <c r="F16" s="32" t="s">
        <v>67</v>
      </c>
      <c r="G16" s="32" t="s">
        <v>68</v>
      </c>
      <c r="H16" s="32" t="s">
        <v>69</v>
      </c>
      <c r="I16" s="32" t="s">
        <v>70</v>
      </c>
      <c r="J16" s="32" t="s">
        <v>71</v>
      </c>
      <c r="K16" s="32" t="s">
        <v>72</v>
      </c>
      <c r="L16" s="32" t="s">
        <v>73</v>
      </c>
      <c r="M16" s="2" t="s">
        <v>74</v>
      </c>
    </row>
    <row r="17" ht="14.25" customHeight="1">
      <c r="A17" s="41" t="s">
        <v>79</v>
      </c>
      <c r="B17" s="42">
        <f t="shared" ref="B17:M17" si="3">B3*20%</f>
        <v>240000</v>
      </c>
      <c r="C17" s="42">
        <f t="shared" si="3"/>
        <v>252000</v>
      </c>
      <c r="D17" s="42">
        <f t="shared" si="3"/>
        <v>264600</v>
      </c>
      <c r="E17" s="42">
        <f t="shared" si="3"/>
        <v>277830</v>
      </c>
      <c r="F17" s="42">
        <f t="shared" si="3"/>
        <v>291721.5</v>
      </c>
      <c r="G17" s="42">
        <f t="shared" si="3"/>
        <v>306307.575</v>
      </c>
      <c r="H17" s="42">
        <f t="shared" si="3"/>
        <v>321622.9538</v>
      </c>
      <c r="I17" s="42">
        <f t="shared" si="3"/>
        <v>337704.1014</v>
      </c>
      <c r="J17" s="42">
        <f t="shared" si="3"/>
        <v>354589.3065</v>
      </c>
      <c r="K17" s="42">
        <f t="shared" si="3"/>
        <v>372318.7718</v>
      </c>
      <c r="L17" s="42">
        <f t="shared" si="3"/>
        <v>390934.7104</v>
      </c>
      <c r="M17" s="43">
        <f t="shared" si="3"/>
        <v>410481.4459</v>
      </c>
    </row>
    <row r="18" ht="14.25" customHeight="1">
      <c r="A18" s="41" t="s">
        <v>80</v>
      </c>
      <c r="B18" s="42">
        <f t="shared" ref="B18:M18" si="4">B3*20%</f>
        <v>240000</v>
      </c>
      <c r="C18" s="42">
        <f t="shared" si="4"/>
        <v>252000</v>
      </c>
      <c r="D18" s="42">
        <f t="shared" si="4"/>
        <v>264600</v>
      </c>
      <c r="E18" s="42">
        <f t="shared" si="4"/>
        <v>277830</v>
      </c>
      <c r="F18" s="42">
        <f t="shared" si="4"/>
        <v>291721.5</v>
      </c>
      <c r="G18" s="42">
        <f t="shared" si="4"/>
        <v>306307.575</v>
      </c>
      <c r="H18" s="42">
        <f t="shared" si="4"/>
        <v>321622.9538</v>
      </c>
      <c r="I18" s="42">
        <f t="shared" si="4"/>
        <v>337704.1014</v>
      </c>
      <c r="J18" s="42">
        <f t="shared" si="4"/>
        <v>354589.3065</v>
      </c>
      <c r="K18" s="42">
        <f t="shared" si="4"/>
        <v>372318.7718</v>
      </c>
      <c r="L18" s="42">
        <f t="shared" si="4"/>
        <v>390934.7104</v>
      </c>
      <c r="M18" s="43">
        <f t="shared" si="4"/>
        <v>410481.4459</v>
      </c>
    </row>
    <row r="19" ht="14.25" customHeight="1">
      <c r="A19" s="41" t="s">
        <v>81</v>
      </c>
      <c r="B19" s="42">
        <f t="shared" ref="B19:M19" si="5">B3*20%</f>
        <v>240000</v>
      </c>
      <c r="C19" s="42">
        <f t="shared" si="5"/>
        <v>252000</v>
      </c>
      <c r="D19" s="42">
        <f t="shared" si="5"/>
        <v>264600</v>
      </c>
      <c r="E19" s="42">
        <f t="shared" si="5"/>
        <v>277830</v>
      </c>
      <c r="F19" s="42">
        <f t="shared" si="5"/>
        <v>291721.5</v>
      </c>
      <c r="G19" s="42">
        <f t="shared" si="5"/>
        <v>306307.575</v>
      </c>
      <c r="H19" s="42">
        <f t="shared" si="5"/>
        <v>321622.9538</v>
      </c>
      <c r="I19" s="42">
        <f t="shared" si="5"/>
        <v>337704.1014</v>
      </c>
      <c r="J19" s="42">
        <f t="shared" si="5"/>
        <v>354589.3065</v>
      </c>
      <c r="K19" s="42">
        <f t="shared" si="5"/>
        <v>372318.7718</v>
      </c>
      <c r="L19" s="42">
        <f t="shared" si="5"/>
        <v>390934.7104</v>
      </c>
      <c r="M19" s="43">
        <f t="shared" si="5"/>
        <v>410481.4459</v>
      </c>
    </row>
    <row r="20" ht="14.25" customHeight="1">
      <c r="A20" s="41" t="s">
        <v>82</v>
      </c>
      <c r="B20" s="42">
        <f t="shared" ref="B20:M20" si="6">B3*20%</f>
        <v>240000</v>
      </c>
      <c r="C20" s="42">
        <f t="shared" si="6"/>
        <v>252000</v>
      </c>
      <c r="D20" s="42">
        <f t="shared" si="6"/>
        <v>264600</v>
      </c>
      <c r="E20" s="42">
        <f t="shared" si="6"/>
        <v>277830</v>
      </c>
      <c r="F20" s="42">
        <f t="shared" si="6"/>
        <v>291721.5</v>
      </c>
      <c r="G20" s="42">
        <f t="shared" si="6"/>
        <v>306307.575</v>
      </c>
      <c r="H20" s="42">
        <f t="shared" si="6"/>
        <v>321622.9538</v>
      </c>
      <c r="I20" s="42">
        <f t="shared" si="6"/>
        <v>337704.1014</v>
      </c>
      <c r="J20" s="42">
        <f t="shared" si="6"/>
        <v>354589.3065</v>
      </c>
      <c r="K20" s="42">
        <f t="shared" si="6"/>
        <v>372318.7718</v>
      </c>
      <c r="L20" s="42">
        <f t="shared" si="6"/>
        <v>390934.7104</v>
      </c>
      <c r="M20" s="43">
        <f t="shared" si="6"/>
        <v>410481.4459</v>
      </c>
    </row>
    <row r="21" ht="14.25" customHeight="1">
      <c r="A21" s="44" t="s">
        <v>83</v>
      </c>
      <c r="B21" s="45">
        <f t="shared" ref="B21:M21" si="7">B3*20%</f>
        <v>240000</v>
      </c>
      <c r="C21" s="45">
        <f t="shared" si="7"/>
        <v>252000</v>
      </c>
      <c r="D21" s="45">
        <f t="shared" si="7"/>
        <v>264600</v>
      </c>
      <c r="E21" s="45">
        <f t="shared" si="7"/>
        <v>277830</v>
      </c>
      <c r="F21" s="45">
        <f t="shared" si="7"/>
        <v>291721.5</v>
      </c>
      <c r="G21" s="45">
        <f t="shared" si="7"/>
        <v>306307.575</v>
      </c>
      <c r="H21" s="45">
        <f t="shared" si="7"/>
        <v>321622.9538</v>
      </c>
      <c r="I21" s="45">
        <f t="shared" si="7"/>
        <v>337704.1014</v>
      </c>
      <c r="J21" s="45">
        <f t="shared" si="7"/>
        <v>354589.3065</v>
      </c>
      <c r="K21" s="45">
        <f t="shared" si="7"/>
        <v>372318.7718</v>
      </c>
      <c r="L21" s="45">
        <f t="shared" si="7"/>
        <v>390934.7104</v>
      </c>
      <c r="M21" s="46">
        <f t="shared" si="7"/>
        <v>410481.4459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1">
      <formula1>"Worst,Base,Best"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13" width="15.25"/>
    <col customWidth="1" min="14" max="14" width="27.13"/>
    <col customWidth="1" min="15" max="26" width="8.63"/>
  </cols>
  <sheetData>
    <row r="1" ht="14.25" customHeight="1">
      <c r="A1" s="30" t="s">
        <v>84</v>
      </c>
      <c r="B1" s="32" t="s">
        <v>63</v>
      </c>
      <c r="C1" s="32" t="s">
        <v>64</v>
      </c>
      <c r="D1" s="32" t="s">
        <v>65</v>
      </c>
      <c r="E1" s="32" t="s">
        <v>66</v>
      </c>
      <c r="F1" s="32" t="s">
        <v>67</v>
      </c>
      <c r="G1" s="32" t="s">
        <v>68</v>
      </c>
      <c r="H1" s="32" t="s">
        <v>69</v>
      </c>
      <c r="I1" s="32" t="s">
        <v>70</v>
      </c>
      <c r="J1" s="32" t="s">
        <v>71</v>
      </c>
      <c r="K1" s="32" t="s">
        <v>72</v>
      </c>
      <c r="L1" s="32" t="s">
        <v>73</v>
      </c>
      <c r="M1" s="32" t="s">
        <v>74</v>
      </c>
      <c r="N1" s="2" t="s">
        <v>85</v>
      </c>
    </row>
    <row r="2" ht="14.25" customHeight="1">
      <c r="A2" s="5" t="s">
        <v>86</v>
      </c>
      <c r="B2" s="47">
        <f>(Assumptions!$B$1*Assumptions!$B$8) +(Assumptions!$B$12*Assumptions!$B$9) +((Assumptions!$B$11-(Assumptions!$B$1+Assumptions!$B$12))*Assumptions!$B$10)</f>
        <v>1030000</v>
      </c>
      <c r="C2" s="47">
        <f>(Assumptions!$B$1*Assumptions!$B$8) +(Assumptions!$B$12*Assumptions!$B$9) +((Assumptions!$B$11-(Assumptions!$B$1+Assumptions!$B$12))*Assumptions!$B$10)</f>
        <v>1030000</v>
      </c>
      <c r="D2" s="47">
        <f>(Assumptions!$B$1*Assumptions!$B$8) +(Assumptions!$B$12*Assumptions!$B$9) +((Assumptions!$B$11-(Assumptions!$B$1+Assumptions!$B$12))*Assumptions!$B$10)</f>
        <v>1030000</v>
      </c>
      <c r="E2" s="47">
        <f>(Assumptions!$B$1*Assumptions!$B$8) +(Assumptions!$B$12*Assumptions!$B$9) +((Assumptions!$B$11-(Assumptions!$B$1+Assumptions!$B$12))*Assumptions!$B$10)</f>
        <v>1030000</v>
      </c>
      <c r="F2" s="47">
        <f>(Assumptions!$B$1*Assumptions!$B$8) +(Assumptions!$B$12*Assumptions!$B$9) +((Assumptions!$B$11-(Assumptions!$B$1+Assumptions!$B$12))*Assumptions!$B$10)</f>
        <v>1030000</v>
      </c>
      <c r="G2" s="47">
        <f>(Assumptions!$B$1*Assumptions!$B$8) +(Assumptions!$B$12*Assumptions!$B$9) +((Assumptions!$B$11-(Assumptions!$B$1+Assumptions!$B$12))*Assumptions!$B$10)</f>
        <v>1030000</v>
      </c>
      <c r="H2" s="47">
        <f>(Assumptions!$B$1*Assumptions!$B$8) +(Assumptions!$B$12*Assumptions!$B$9) +((Assumptions!$B$11-(Assumptions!$B$1+Assumptions!$B$12))*Assumptions!$B$10)</f>
        <v>1030000</v>
      </c>
      <c r="I2" s="47">
        <f>(Assumptions!$B$1*Assumptions!$B$8) +(Assumptions!$B$12*Assumptions!$B$9) +((Assumptions!$B$11-(Assumptions!$B$1+Assumptions!$B$12))*Assumptions!$B$10)</f>
        <v>1030000</v>
      </c>
      <c r="J2" s="47">
        <f>(Assumptions!$B$1*Assumptions!$B$8) +(Assumptions!$B$12*Assumptions!$B$9) +((Assumptions!$B$11-(Assumptions!$B$1+Assumptions!$B$12))*Assumptions!$B$10)</f>
        <v>1030000</v>
      </c>
      <c r="K2" s="47">
        <f>(Assumptions!$B$1*Assumptions!$B$8) +(Assumptions!$B$12*Assumptions!$B$9) +((Assumptions!$B$11-(Assumptions!$B$1+Assumptions!$B$12))*Assumptions!$B$10)</f>
        <v>1030000</v>
      </c>
      <c r="L2" s="47">
        <f>(Assumptions!$B$1*Assumptions!$B$8) +(Assumptions!$B$12*Assumptions!$B$9) +((Assumptions!$B$11-(Assumptions!$B$1+Assumptions!$B$12))*Assumptions!$B$10)</f>
        <v>1030000</v>
      </c>
      <c r="M2" s="47">
        <f>(Assumptions!$B$1*Assumptions!$B$8) +(Assumptions!$B$12*Assumptions!$B$9) +((Assumptions!$B$11-(Assumptions!$B$1+Assumptions!$B$12))*Assumptions!$B$10)</f>
        <v>1030000</v>
      </c>
      <c r="N2" s="15">
        <f t="shared" ref="N2:N6" si="1">SUM(B2:M2)</f>
        <v>12360000</v>
      </c>
    </row>
    <row r="3" ht="14.25" customHeight="1">
      <c r="A3" s="5" t="s">
        <v>87</v>
      </c>
      <c r="B3" s="48">
        <f>Revenue!B3*Assumptions!$B$5</f>
        <v>120000</v>
      </c>
      <c r="C3" s="48">
        <f>Revenue!C3*Assumptions!$B$5</f>
        <v>126000</v>
      </c>
      <c r="D3" s="48">
        <f>Revenue!D3*Assumptions!$B$5</f>
        <v>132300</v>
      </c>
      <c r="E3" s="48">
        <f>Revenue!E3*Assumptions!$B$5</f>
        <v>138915</v>
      </c>
      <c r="F3" s="48">
        <f>Revenue!F3*Assumptions!$B$5</f>
        <v>145860.75</v>
      </c>
      <c r="G3" s="48">
        <f>Revenue!G3*Assumptions!$B$5</f>
        <v>153153.7875</v>
      </c>
      <c r="H3" s="48">
        <f>Revenue!H3*Assumptions!$B$5</f>
        <v>160811.4769</v>
      </c>
      <c r="I3" s="48">
        <f>Revenue!I3*Assumptions!$B$5</f>
        <v>168852.0507</v>
      </c>
      <c r="J3" s="48">
        <f>Revenue!J3*Assumptions!$B$5</f>
        <v>177294.6533</v>
      </c>
      <c r="K3" s="48">
        <f>Revenue!K3*Assumptions!$B$5</f>
        <v>186159.3859</v>
      </c>
      <c r="L3" s="48">
        <f>Revenue!L3*Assumptions!$B$5</f>
        <v>195467.3552</v>
      </c>
      <c r="M3" s="48">
        <f>Revenue!M3*Assumptions!$B$5</f>
        <v>205240.723</v>
      </c>
      <c r="N3" s="15">
        <f t="shared" si="1"/>
        <v>1910055.182</v>
      </c>
    </row>
    <row r="4" ht="14.25" customHeight="1">
      <c r="A4" s="5" t="s">
        <v>52</v>
      </c>
      <c r="B4" s="48">
        <f>Assumptions!$B$6</f>
        <v>50000</v>
      </c>
      <c r="C4" s="48">
        <f>Assumptions!$B$6</f>
        <v>50000</v>
      </c>
      <c r="D4" s="48">
        <f>Assumptions!$B$6</f>
        <v>50000</v>
      </c>
      <c r="E4" s="48">
        <f>Assumptions!$B$6</f>
        <v>50000</v>
      </c>
      <c r="F4" s="48">
        <f>Assumptions!$B$6</f>
        <v>50000</v>
      </c>
      <c r="G4" s="48">
        <f>Assumptions!$B$6</f>
        <v>50000</v>
      </c>
      <c r="H4" s="48">
        <f>Assumptions!$B$6</f>
        <v>50000</v>
      </c>
      <c r="I4" s="48">
        <f>Assumptions!$B$6</f>
        <v>50000</v>
      </c>
      <c r="J4" s="48">
        <f>Assumptions!$B$6</f>
        <v>50000</v>
      </c>
      <c r="K4" s="48">
        <f>Assumptions!$B$6</f>
        <v>50000</v>
      </c>
      <c r="L4" s="48">
        <f>Assumptions!$B$6</f>
        <v>50000</v>
      </c>
      <c r="M4" s="48">
        <f>Assumptions!$B$6</f>
        <v>50000</v>
      </c>
      <c r="N4" s="15">
        <f t="shared" si="1"/>
        <v>600000</v>
      </c>
    </row>
    <row r="5" ht="14.25" customHeight="1">
      <c r="A5" s="49" t="s">
        <v>88</v>
      </c>
      <c r="B5" s="48">
        <f>Assumptions!$B$7</f>
        <v>30000</v>
      </c>
      <c r="C5" s="48">
        <f>Assumptions!$B$7</f>
        <v>30000</v>
      </c>
      <c r="D5" s="48">
        <f>Assumptions!$B$7</f>
        <v>30000</v>
      </c>
      <c r="E5" s="48">
        <f>Assumptions!$B$7</f>
        <v>30000</v>
      </c>
      <c r="F5" s="48">
        <f>Assumptions!$B$7</f>
        <v>30000</v>
      </c>
      <c r="G5" s="48">
        <f>Assumptions!$B$7</f>
        <v>30000</v>
      </c>
      <c r="H5" s="48">
        <f>Assumptions!$B$7</f>
        <v>30000</v>
      </c>
      <c r="I5" s="48">
        <f>Assumptions!$B$7</f>
        <v>30000</v>
      </c>
      <c r="J5" s="48">
        <f>Assumptions!$B$7</f>
        <v>30000</v>
      </c>
      <c r="K5" s="48">
        <f>Assumptions!$B$7</f>
        <v>30000</v>
      </c>
      <c r="L5" s="48">
        <f>Assumptions!$B$7</f>
        <v>30000</v>
      </c>
      <c r="M5" s="48">
        <f>Assumptions!$B$7</f>
        <v>30000</v>
      </c>
      <c r="N5" s="15">
        <f t="shared" si="1"/>
        <v>360000</v>
      </c>
    </row>
    <row r="6" ht="14.25" customHeight="1">
      <c r="A6" s="50" t="s">
        <v>89</v>
      </c>
      <c r="B6" s="48">
        <f>Assumptions!$B$7*Assumptions!$B$25</f>
        <v>3000</v>
      </c>
      <c r="C6" s="48">
        <f>Assumptions!$B$7*Assumptions!$B$25</f>
        <v>3000</v>
      </c>
      <c r="D6" s="48">
        <f>Assumptions!$B$7*Assumptions!$B$25</f>
        <v>3000</v>
      </c>
      <c r="E6" s="48">
        <f>Assumptions!$B$7*Assumptions!$B$25</f>
        <v>3000</v>
      </c>
      <c r="F6" s="48">
        <f>Assumptions!$B$7*Assumptions!$B$25</f>
        <v>3000</v>
      </c>
      <c r="G6" s="48">
        <f>Assumptions!$B$7*Assumptions!$B$25</f>
        <v>3000</v>
      </c>
      <c r="H6" s="48">
        <f>Assumptions!$B$7*Assumptions!$B$25</f>
        <v>3000</v>
      </c>
      <c r="I6" s="48">
        <f>Assumptions!$B$7*Assumptions!$B$25</f>
        <v>3000</v>
      </c>
      <c r="J6" s="48">
        <f>Assumptions!$B$7*Assumptions!$B$25</f>
        <v>3000</v>
      </c>
      <c r="K6" s="48">
        <f>Assumptions!$B$7*Assumptions!$B$25</f>
        <v>3000</v>
      </c>
      <c r="L6" s="48">
        <f>Assumptions!$B$7*Assumptions!$B$25</f>
        <v>3000</v>
      </c>
      <c r="M6" s="48">
        <f>Assumptions!$B$7*Assumptions!$B$25</f>
        <v>3000</v>
      </c>
      <c r="N6" s="15">
        <f t="shared" si="1"/>
        <v>36000</v>
      </c>
    </row>
    <row r="7" ht="14.25" customHeight="1">
      <c r="A7" s="33" t="s">
        <v>90</v>
      </c>
      <c r="B7" s="34">
        <f t="shared" ref="B7:N7" si="2">SUM(B2:B6)</f>
        <v>1233000</v>
      </c>
      <c r="C7" s="34">
        <f t="shared" si="2"/>
        <v>1239000</v>
      </c>
      <c r="D7" s="34">
        <f t="shared" si="2"/>
        <v>1245300</v>
      </c>
      <c r="E7" s="34">
        <f t="shared" si="2"/>
        <v>1251915</v>
      </c>
      <c r="F7" s="34">
        <f t="shared" si="2"/>
        <v>1258860.75</v>
      </c>
      <c r="G7" s="34">
        <f t="shared" si="2"/>
        <v>1266153.788</v>
      </c>
      <c r="H7" s="34">
        <f t="shared" si="2"/>
        <v>1273811.477</v>
      </c>
      <c r="I7" s="34">
        <f t="shared" si="2"/>
        <v>1281852.051</v>
      </c>
      <c r="J7" s="34">
        <f t="shared" si="2"/>
        <v>1290294.653</v>
      </c>
      <c r="K7" s="34">
        <f t="shared" si="2"/>
        <v>1299159.386</v>
      </c>
      <c r="L7" s="34">
        <f t="shared" si="2"/>
        <v>1308467.355</v>
      </c>
      <c r="M7" s="34">
        <f t="shared" si="2"/>
        <v>1318240.723</v>
      </c>
      <c r="N7" s="51">
        <f t="shared" si="2"/>
        <v>15266055.18</v>
      </c>
    </row>
    <row r="8" ht="14.25" customHeight="1"/>
    <row r="9" ht="14.25" customHeight="1">
      <c r="A9" s="9" t="s">
        <v>91</v>
      </c>
      <c r="B9" s="47">
        <f>SUM(B7:M7)</f>
        <v>15266055.18</v>
      </c>
    </row>
    <row r="10" ht="14.25" customHeight="1">
      <c r="A10" s="9" t="s">
        <v>92</v>
      </c>
      <c r="B10" s="47">
        <f>AVERAGE(B7:M7)</f>
        <v>1272171.265</v>
      </c>
      <c r="N10" s="4"/>
    </row>
    <row r="11" ht="14.25" customHeight="1">
      <c r="A11" s="52" t="s">
        <v>84</v>
      </c>
      <c r="B11" s="22" t="s">
        <v>63</v>
      </c>
      <c r="C11" s="22" t="s">
        <v>64</v>
      </c>
      <c r="D11" s="22" t="s">
        <v>65</v>
      </c>
      <c r="E11" s="22" t="s">
        <v>66</v>
      </c>
      <c r="F11" s="22" t="s">
        <v>67</v>
      </c>
      <c r="G11" s="22" t="s">
        <v>68</v>
      </c>
      <c r="H11" s="22" t="s">
        <v>69</v>
      </c>
      <c r="I11" s="22" t="s">
        <v>70</v>
      </c>
      <c r="J11" s="22" t="s">
        <v>71</v>
      </c>
      <c r="K11" s="22" t="s">
        <v>72</v>
      </c>
      <c r="L11" s="22" t="s">
        <v>73</v>
      </c>
      <c r="M11" s="22" t="s">
        <v>74</v>
      </c>
      <c r="N11" s="4"/>
    </row>
    <row r="12" ht="14.25" customHeight="1">
      <c r="A12" s="53" t="s">
        <v>34</v>
      </c>
      <c r="B12" s="22">
        <f t="shared" ref="B12:M12" si="3">B7*25%</f>
        <v>308250</v>
      </c>
      <c r="C12" s="22">
        <f t="shared" si="3"/>
        <v>309750</v>
      </c>
      <c r="D12" s="22">
        <f t="shared" si="3"/>
        <v>311325</v>
      </c>
      <c r="E12" s="22">
        <f t="shared" si="3"/>
        <v>312978.75</v>
      </c>
      <c r="F12" s="22">
        <f t="shared" si="3"/>
        <v>314715.1875</v>
      </c>
      <c r="G12" s="22">
        <f t="shared" si="3"/>
        <v>316538.4469</v>
      </c>
      <c r="H12" s="22">
        <f t="shared" si="3"/>
        <v>318452.8692</v>
      </c>
      <c r="I12" s="22">
        <f t="shared" si="3"/>
        <v>320463.0127</v>
      </c>
      <c r="J12" s="22">
        <f t="shared" si="3"/>
        <v>322573.6633</v>
      </c>
      <c r="K12" s="22">
        <f t="shared" si="3"/>
        <v>324789.8465</v>
      </c>
      <c r="L12" s="22">
        <f t="shared" si="3"/>
        <v>327116.8388</v>
      </c>
      <c r="M12" s="22">
        <f t="shared" si="3"/>
        <v>329560.1807</v>
      </c>
    </row>
    <row r="13" ht="14.25" customHeight="1">
      <c r="A13" s="53" t="s">
        <v>35</v>
      </c>
      <c r="B13" s="22">
        <f t="shared" ref="B13:M13" si="4">B7*20%</f>
        <v>246600</v>
      </c>
      <c r="C13" s="22">
        <f t="shared" si="4"/>
        <v>247800</v>
      </c>
      <c r="D13" s="22">
        <f t="shared" si="4"/>
        <v>249060</v>
      </c>
      <c r="E13" s="22">
        <f t="shared" si="4"/>
        <v>250383</v>
      </c>
      <c r="F13" s="22">
        <f t="shared" si="4"/>
        <v>251772.15</v>
      </c>
      <c r="G13" s="22">
        <f t="shared" si="4"/>
        <v>253230.7575</v>
      </c>
      <c r="H13" s="22">
        <f t="shared" si="4"/>
        <v>254762.2954</v>
      </c>
      <c r="I13" s="22">
        <f t="shared" si="4"/>
        <v>256370.4101</v>
      </c>
      <c r="J13" s="22">
        <f t="shared" si="4"/>
        <v>258058.9307</v>
      </c>
      <c r="K13" s="22">
        <f t="shared" si="4"/>
        <v>259831.8772</v>
      </c>
      <c r="L13" s="22">
        <f t="shared" si="4"/>
        <v>261693.471</v>
      </c>
      <c r="M13" s="22">
        <f t="shared" si="4"/>
        <v>263648.1446</v>
      </c>
    </row>
    <row r="14" ht="14.25" customHeight="1">
      <c r="A14" s="53" t="s">
        <v>37</v>
      </c>
      <c r="B14" s="22">
        <f t="shared" ref="B14:M14" si="5">B7*18%</f>
        <v>221940</v>
      </c>
      <c r="C14" s="22">
        <f t="shared" si="5"/>
        <v>223020</v>
      </c>
      <c r="D14" s="22">
        <f t="shared" si="5"/>
        <v>224154</v>
      </c>
      <c r="E14" s="22">
        <f t="shared" si="5"/>
        <v>225344.7</v>
      </c>
      <c r="F14" s="22">
        <f t="shared" si="5"/>
        <v>226594.935</v>
      </c>
      <c r="G14" s="22">
        <f t="shared" si="5"/>
        <v>227907.6818</v>
      </c>
      <c r="H14" s="22">
        <f t="shared" si="5"/>
        <v>229286.0658</v>
      </c>
      <c r="I14" s="22">
        <f t="shared" si="5"/>
        <v>230733.3691</v>
      </c>
      <c r="J14" s="22">
        <f t="shared" si="5"/>
        <v>232253.0376</v>
      </c>
      <c r="K14" s="22">
        <f t="shared" si="5"/>
        <v>233848.6895</v>
      </c>
      <c r="L14" s="22">
        <f t="shared" si="5"/>
        <v>235524.1239</v>
      </c>
      <c r="M14" s="22">
        <f t="shared" si="5"/>
        <v>237283.3301</v>
      </c>
    </row>
    <row r="15" ht="14.25" customHeight="1">
      <c r="A15" s="53" t="s">
        <v>38</v>
      </c>
      <c r="B15" s="22">
        <f t="shared" ref="B15:M15" si="6">B7*22%</f>
        <v>271260</v>
      </c>
      <c r="C15" s="22">
        <f t="shared" si="6"/>
        <v>272580</v>
      </c>
      <c r="D15" s="22">
        <f t="shared" si="6"/>
        <v>273966</v>
      </c>
      <c r="E15" s="22">
        <f t="shared" si="6"/>
        <v>275421.3</v>
      </c>
      <c r="F15" s="22">
        <f t="shared" si="6"/>
        <v>276949.365</v>
      </c>
      <c r="G15" s="22">
        <f t="shared" si="6"/>
        <v>278553.8333</v>
      </c>
      <c r="H15" s="22">
        <f t="shared" si="6"/>
        <v>280238.5249</v>
      </c>
      <c r="I15" s="22">
        <f t="shared" si="6"/>
        <v>282007.4512</v>
      </c>
      <c r="J15" s="22">
        <f t="shared" si="6"/>
        <v>283864.8237</v>
      </c>
      <c r="K15" s="22">
        <f t="shared" si="6"/>
        <v>285815.0649</v>
      </c>
      <c r="L15" s="22">
        <f t="shared" si="6"/>
        <v>287862.8181</v>
      </c>
      <c r="M15" s="22">
        <f t="shared" si="6"/>
        <v>290012.9591</v>
      </c>
    </row>
    <row r="16" ht="14.25" customHeight="1">
      <c r="A16" s="53" t="s">
        <v>40</v>
      </c>
      <c r="B16" s="22">
        <f t="shared" ref="B16:M16" si="7">B7*15%</f>
        <v>184950</v>
      </c>
      <c r="C16" s="22">
        <f t="shared" si="7"/>
        <v>185850</v>
      </c>
      <c r="D16" s="22">
        <f t="shared" si="7"/>
        <v>186795</v>
      </c>
      <c r="E16" s="22">
        <f t="shared" si="7"/>
        <v>187787.25</v>
      </c>
      <c r="F16" s="22">
        <f t="shared" si="7"/>
        <v>188829.1125</v>
      </c>
      <c r="G16" s="22">
        <f t="shared" si="7"/>
        <v>189923.0681</v>
      </c>
      <c r="H16" s="22">
        <f t="shared" si="7"/>
        <v>191071.7215</v>
      </c>
      <c r="I16" s="22">
        <f t="shared" si="7"/>
        <v>192277.8076</v>
      </c>
      <c r="J16" s="22">
        <f t="shared" si="7"/>
        <v>193544.198</v>
      </c>
      <c r="K16" s="22">
        <f t="shared" si="7"/>
        <v>194873.9079</v>
      </c>
      <c r="L16" s="22">
        <f t="shared" si="7"/>
        <v>196270.1033</v>
      </c>
      <c r="M16" s="22">
        <f t="shared" si="7"/>
        <v>197736.1084</v>
      </c>
    </row>
    <row r="17" ht="14.25" customHeight="1"/>
    <row r="18" ht="14.25" customHeight="1">
      <c r="A18" s="30" t="s">
        <v>84</v>
      </c>
      <c r="B18" s="32" t="s">
        <v>63</v>
      </c>
      <c r="C18" s="32" t="s">
        <v>64</v>
      </c>
      <c r="D18" s="32" t="s">
        <v>65</v>
      </c>
      <c r="E18" s="32" t="s">
        <v>66</v>
      </c>
      <c r="F18" s="32" t="s">
        <v>67</v>
      </c>
      <c r="G18" s="32" t="s">
        <v>68</v>
      </c>
      <c r="H18" s="32" t="s">
        <v>69</v>
      </c>
      <c r="I18" s="32" t="s">
        <v>70</v>
      </c>
      <c r="J18" s="32" t="s">
        <v>71</v>
      </c>
      <c r="K18" s="32" t="s">
        <v>72</v>
      </c>
      <c r="L18" s="32" t="s">
        <v>73</v>
      </c>
      <c r="M18" s="2" t="s">
        <v>74</v>
      </c>
    </row>
    <row r="19" ht="14.25" customHeight="1">
      <c r="A19" s="41" t="s">
        <v>79</v>
      </c>
      <c r="B19" s="22">
        <f t="shared" ref="B19:M19" si="8">B7*20%</f>
        <v>246600</v>
      </c>
      <c r="C19" s="22">
        <f t="shared" si="8"/>
        <v>247800</v>
      </c>
      <c r="D19" s="22">
        <f t="shared" si="8"/>
        <v>249060</v>
      </c>
      <c r="E19" s="22">
        <f t="shared" si="8"/>
        <v>250383</v>
      </c>
      <c r="F19" s="22">
        <f t="shared" si="8"/>
        <v>251772.15</v>
      </c>
      <c r="G19" s="22">
        <f t="shared" si="8"/>
        <v>253230.7575</v>
      </c>
      <c r="H19" s="22">
        <f t="shared" si="8"/>
        <v>254762.2954</v>
      </c>
      <c r="I19" s="22">
        <f t="shared" si="8"/>
        <v>256370.4101</v>
      </c>
      <c r="J19" s="22">
        <f t="shared" si="8"/>
        <v>258058.9307</v>
      </c>
      <c r="K19" s="22">
        <f t="shared" si="8"/>
        <v>259831.8772</v>
      </c>
      <c r="L19" s="22">
        <f t="shared" si="8"/>
        <v>261693.471</v>
      </c>
      <c r="M19" s="6">
        <f t="shared" si="8"/>
        <v>263648.1446</v>
      </c>
    </row>
    <row r="20" ht="14.25" customHeight="1">
      <c r="A20" s="41" t="s">
        <v>80</v>
      </c>
      <c r="B20" s="22">
        <f t="shared" ref="B20:M20" si="9">B7*20%</f>
        <v>246600</v>
      </c>
      <c r="C20" s="22">
        <f t="shared" si="9"/>
        <v>247800</v>
      </c>
      <c r="D20" s="22">
        <f t="shared" si="9"/>
        <v>249060</v>
      </c>
      <c r="E20" s="22">
        <f t="shared" si="9"/>
        <v>250383</v>
      </c>
      <c r="F20" s="22">
        <f t="shared" si="9"/>
        <v>251772.15</v>
      </c>
      <c r="G20" s="22">
        <f t="shared" si="9"/>
        <v>253230.7575</v>
      </c>
      <c r="H20" s="22">
        <f t="shared" si="9"/>
        <v>254762.2954</v>
      </c>
      <c r="I20" s="22">
        <f t="shared" si="9"/>
        <v>256370.4101</v>
      </c>
      <c r="J20" s="22">
        <f t="shared" si="9"/>
        <v>258058.9307</v>
      </c>
      <c r="K20" s="22">
        <f t="shared" si="9"/>
        <v>259831.8772</v>
      </c>
      <c r="L20" s="22">
        <f t="shared" si="9"/>
        <v>261693.471</v>
      </c>
      <c r="M20" s="6">
        <f t="shared" si="9"/>
        <v>263648.1446</v>
      </c>
    </row>
    <row r="21" ht="14.25" customHeight="1">
      <c r="A21" s="41" t="s">
        <v>81</v>
      </c>
      <c r="B21" s="22">
        <f t="shared" ref="B21:M21" si="10">B7*20%</f>
        <v>246600</v>
      </c>
      <c r="C21" s="22">
        <f t="shared" si="10"/>
        <v>247800</v>
      </c>
      <c r="D21" s="22">
        <f t="shared" si="10"/>
        <v>249060</v>
      </c>
      <c r="E21" s="22">
        <f t="shared" si="10"/>
        <v>250383</v>
      </c>
      <c r="F21" s="22">
        <f t="shared" si="10"/>
        <v>251772.15</v>
      </c>
      <c r="G21" s="22">
        <f t="shared" si="10"/>
        <v>253230.7575</v>
      </c>
      <c r="H21" s="22">
        <f t="shared" si="10"/>
        <v>254762.2954</v>
      </c>
      <c r="I21" s="22">
        <f t="shared" si="10"/>
        <v>256370.4101</v>
      </c>
      <c r="J21" s="22">
        <f t="shared" si="10"/>
        <v>258058.9307</v>
      </c>
      <c r="K21" s="22">
        <f t="shared" si="10"/>
        <v>259831.8772</v>
      </c>
      <c r="L21" s="22">
        <f t="shared" si="10"/>
        <v>261693.471</v>
      </c>
      <c r="M21" s="6">
        <f t="shared" si="10"/>
        <v>263648.1446</v>
      </c>
    </row>
    <row r="22" ht="14.25" customHeight="1">
      <c r="A22" s="41" t="s">
        <v>82</v>
      </c>
      <c r="B22" s="22">
        <f t="shared" ref="B22:M22" si="11">B7*20%</f>
        <v>246600</v>
      </c>
      <c r="C22" s="22">
        <f t="shared" si="11"/>
        <v>247800</v>
      </c>
      <c r="D22" s="22">
        <f t="shared" si="11"/>
        <v>249060</v>
      </c>
      <c r="E22" s="22">
        <f t="shared" si="11"/>
        <v>250383</v>
      </c>
      <c r="F22" s="22">
        <f t="shared" si="11"/>
        <v>251772.15</v>
      </c>
      <c r="G22" s="22">
        <f t="shared" si="11"/>
        <v>253230.7575</v>
      </c>
      <c r="H22" s="22">
        <f t="shared" si="11"/>
        <v>254762.2954</v>
      </c>
      <c r="I22" s="22">
        <f t="shared" si="11"/>
        <v>256370.4101</v>
      </c>
      <c r="J22" s="22">
        <f t="shared" si="11"/>
        <v>258058.9307</v>
      </c>
      <c r="K22" s="22">
        <f t="shared" si="11"/>
        <v>259831.8772</v>
      </c>
      <c r="L22" s="22">
        <f t="shared" si="11"/>
        <v>261693.471</v>
      </c>
      <c r="M22" s="6">
        <f t="shared" si="11"/>
        <v>263648.1446</v>
      </c>
    </row>
    <row r="23" ht="14.25" customHeight="1">
      <c r="A23" s="44" t="s">
        <v>83</v>
      </c>
      <c r="B23" s="40">
        <f t="shared" ref="B23:M23" si="12">B7*20%</f>
        <v>246600</v>
      </c>
      <c r="C23" s="40">
        <f t="shared" si="12"/>
        <v>247800</v>
      </c>
      <c r="D23" s="40">
        <f t="shared" si="12"/>
        <v>249060</v>
      </c>
      <c r="E23" s="40">
        <f t="shared" si="12"/>
        <v>250383</v>
      </c>
      <c r="F23" s="40">
        <f t="shared" si="12"/>
        <v>251772.15</v>
      </c>
      <c r="G23" s="40">
        <f t="shared" si="12"/>
        <v>253230.7575</v>
      </c>
      <c r="H23" s="40">
        <f t="shared" si="12"/>
        <v>254762.2954</v>
      </c>
      <c r="I23" s="40">
        <f t="shared" si="12"/>
        <v>256370.4101</v>
      </c>
      <c r="J23" s="40">
        <f t="shared" si="12"/>
        <v>258058.9307</v>
      </c>
      <c r="K23" s="40">
        <f t="shared" si="12"/>
        <v>259831.8772</v>
      </c>
      <c r="L23" s="40">
        <f t="shared" si="12"/>
        <v>261693.471</v>
      </c>
      <c r="M23" s="18">
        <f t="shared" si="12"/>
        <v>263648.1446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5.13"/>
    <col customWidth="1" min="3" max="13" width="15.25"/>
    <col customWidth="1" min="14" max="26" width="8.63"/>
  </cols>
  <sheetData>
    <row r="1" ht="14.25" customHeight="1">
      <c r="A1" s="54" t="s">
        <v>62</v>
      </c>
      <c r="B1" s="32" t="s">
        <v>63</v>
      </c>
      <c r="C1" s="32" t="s">
        <v>64</v>
      </c>
      <c r="D1" s="32" t="s">
        <v>65</v>
      </c>
      <c r="E1" s="32" t="s">
        <v>66</v>
      </c>
      <c r="F1" s="32" t="s">
        <v>67</v>
      </c>
      <c r="G1" s="32" t="s">
        <v>68</v>
      </c>
      <c r="H1" s="32" t="s">
        <v>69</v>
      </c>
      <c r="I1" s="32" t="s">
        <v>70</v>
      </c>
      <c r="J1" s="32" t="s">
        <v>71</v>
      </c>
      <c r="K1" s="32" t="s">
        <v>72</v>
      </c>
      <c r="L1" s="32" t="s">
        <v>73</v>
      </c>
      <c r="M1" s="2" t="s">
        <v>74</v>
      </c>
    </row>
    <row r="2" ht="14.25" customHeight="1">
      <c r="A2" s="49" t="s">
        <v>75</v>
      </c>
      <c r="B2" s="48">
        <f>Revenue!B3</f>
        <v>1200000</v>
      </c>
      <c r="C2" s="48">
        <f>Revenue!C3</f>
        <v>1260000</v>
      </c>
      <c r="D2" s="48">
        <f>Revenue!D3</f>
        <v>1323000</v>
      </c>
      <c r="E2" s="48">
        <f>Revenue!E3</f>
        <v>1389150</v>
      </c>
      <c r="F2" s="48">
        <f>Revenue!F3</f>
        <v>1458607.5</v>
      </c>
      <c r="G2" s="48">
        <f>Revenue!G3</f>
        <v>1531537.875</v>
      </c>
      <c r="H2" s="48">
        <f>Revenue!H3</f>
        <v>1608114.769</v>
      </c>
      <c r="I2" s="48">
        <f>Revenue!I3</f>
        <v>1688520.507</v>
      </c>
      <c r="J2" s="48">
        <f>Revenue!J3</f>
        <v>1772946.533</v>
      </c>
      <c r="K2" s="48">
        <f>Revenue!K3</f>
        <v>1861593.859</v>
      </c>
      <c r="L2" s="48">
        <f>Revenue!L3</f>
        <v>1954673.552</v>
      </c>
      <c r="M2" s="55">
        <f>Revenue!M3</f>
        <v>2052407.23</v>
      </c>
    </row>
    <row r="3" ht="14.25" customHeight="1">
      <c r="A3" s="5" t="s">
        <v>90</v>
      </c>
      <c r="B3" s="48">
        <f>Costs!B7</f>
        <v>1233000</v>
      </c>
      <c r="C3" s="48">
        <f>Costs!C7</f>
        <v>1239000</v>
      </c>
      <c r="D3" s="48">
        <f>Costs!D7</f>
        <v>1245300</v>
      </c>
      <c r="E3" s="48">
        <f>Costs!E7</f>
        <v>1251915</v>
      </c>
      <c r="F3" s="48">
        <f>Costs!F7</f>
        <v>1258860.75</v>
      </c>
      <c r="G3" s="48">
        <f>Costs!G7</f>
        <v>1266153.788</v>
      </c>
      <c r="H3" s="48">
        <f>Costs!H7</f>
        <v>1273811.477</v>
      </c>
      <c r="I3" s="48">
        <f>Costs!I7</f>
        <v>1281852.051</v>
      </c>
      <c r="J3" s="48">
        <f>Costs!J7</f>
        <v>1290294.653</v>
      </c>
      <c r="K3" s="48">
        <f>Costs!K7</f>
        <v>1299159.386</v>
      </c>
      <c r="L3" s="48">
        <f>Costs!L7</f>
        <v>1308467.355</v>
      </c>
      <c r="M3" s="55">
        <f>Costs!M7</f>
        <v>1318240.723</v>
      </c>
    </row>
    <row r="4" ht="14.25" customHeight="1">
      <c r="A4" s="5" t="s">
        <v>93</v>
      </c>
      <c r="B4" s="56">
        <f t="shared" ref="B4:M4" si="1">B2-B3</f>
        <v>-33000</v>
      </c>
      <c r="C4" s="56">
        <f t="shared" si="1"/>
        <v>21000</v>
      </c>
      <c r="D4" s="56">
        <f t="shared" si="1"/>
        <v>77700</v>
      </c>
      <c r="E4" s="56">
        <f t="shared" si="1"/>
        <v>137235</v>
      </c>
      <c r="F4" s="56">
        <f t="shared" si="1"/>
        <v>199746.75</v>
      </c>
      <c r="G4" s="56">
        <f t="shared" si="1"/>
        <v>265384.0875</v>
      </c>
      <c r="H4" s="56">
        <f t="shared" si="1"/>
        <v>334303.2919</v>
      </c>
      <c r="I4" s="56">
        <f t="shared" si="1"/>
        <v>406668.4565</v>
      </c>
      <c r="J4" s="56">
        <f t="shared" si="1"/>
        <v>482651.8793</v>
      </c>
      <c r="K4" s="56">
        <f t="shared" si="1"/>
        <v>562434.4733</v>
      </c>
      <c r="L4" s="56">
        <f t="shared" si="1"/>
        <v>646206.1969</v>
      </c>
      <c r="M4" s="57">
        <f t="shared" si="1"/>
        <v>734166.5068</v>
      </c>
    </row>
    <row r="5" ht="14.25" customHeight="1">
      <c r="A5" s="5" t="s">
        <v>94</v>
      </c>
      <c r="B5" s="23">
        <f t="shared" ref="B5:M5" si="2">B4</f>
        <v>-33000</v>
      </c>
      <c r="C5" s="23">
        <f t="shared" si="2"/>
        <v>21000</v>
      </c>
      <c r="D5" s="23">
        <f t="shared" si="2"/>
        <v>77700</v>
      </c>
      <c r="E5" s="23">
        <f t="shared" si="2"/>
        <v>137235</v>
      </c>
      <c r="F5" s="23">
        <f t="shared" si="2"/>
        <v>199746.75</v>
      </c>
      <c r="G5" s="23">
        <f t="shared" si="2"/>
        <v>265384.0875</v>
      </c>
      <c r="H5" s="23">
        <f t="shared" si="2"/>
        <v>334303.2919</v>
      </c>
      <c r="I5" s="23">
        <f t="shared" si="2"/>
        <v>406668.4565</v>
      </c>
      <c r="J5" s="23">
        <f t="shared" si="2"/>
        <v>482651.8793</v>
      </c>
      <c r="K5" s="23">
        <f t="shared" si="2"/>
        <v>562434.4733</v>
      </c>
      <c r="L5" s="23">
        <f t="shared" si="2"/>
        <v>646206.1969</v>
      </c>
      <c r="M5" s="15">
        <f t="shared" si="2"/>
        <v>734166.5068</v>
      </c>
    </row>
    <row r="6" ht="14.25" customHeight="1">
      <c r="A6" s="5" t="s">
        <v>95</v>
      </c>
      <c r="B6" s="23">
        <f>IF(B5&gt;0,$B$5*Assumptions!$B$24,0)</f>
        <v>0</v>
      </c>
      <c r="C6" s="23">
        <f>IF(C5&gt;0,$B$5*Assumptions!$B$24,0)</f>
        <v>-8250</v>
      </c>
      <c r="D6" s="23">
        <f>IF(D5&gt;0,$B$5*Assumptions!$B$24,0)</f>
        <v>-8250</v>
      </c>
      <c r="E6" s="23">
        <f>IF(E5&gt;0,$B$5*Assumptions!$B$24,0)</f>
        <v>-8250</v>
      </c>
      <c r="F6" s="23">
        <f>IF(F5&gt;0,$B$5*Assumptions!$B$24,0)</f>
        <v>-8250</v>
      </c>
      <c r="G6" s="23">
        <f>IF(G5&gt;0,$B$5*Assumptions!$B$24,0)</f>
        <v>-8250</v>
      </c>
      <c r="H6" s="23">
        <f>IF(H5&gt;0,$B$5*Assumptions!$B$24,0)</f>
        <v>-8250</v>
      </c>
      <c r="I6" s="23">
        <f>IF(I5&gt;0,$B$5*Assumptions!$B$24,0)</f>
        <v>-8250</v>
      </c>
      <c r="J6" s="23">
        <f>IF(J5&gt;0,$B$5*Assumptions!$B$24,0)</f>
        <v>-8250</v>
      </c>
      <c r="K6" s="23">
        <f>IF(K5&gt;0,$B$5*Assumptions!$B$24,0)</f>
        <v>-8250</v>
      </c>
      <c r="L6" s="23">
        <f>IF(L5&gt;0,$B$5*Assumptions!$B$24,0)</f>
        <v>-8250</v>
      </c>
      <c r="M6" s="23">
        <f>IF(M5&gt;0,$B$5*Assumptions!$B$24,0)</f>
        <v>-8250</v>
      </c>
    </row>
    <row r="7" ht="14.25" customHeight="1">
      <c r="A7" s="17" t="s">
        <v>96</v>
      </c>
      <c r="B7" s="58">
        <f t="shared" ref="B7:M7" si="3">B5-B6</f>
        <v>-33000</v>
      </c>
      <c r="C7" s="58">
        <f t="shared" si="3"/>
        <v>29250</v>
      </c>
      <c r="D7" s="58">
        <f t="shared" si="3"/>
        <v>85950</v>
      </c>
      <c r="E7" s="58">
        <f t="shared" si="3"/>
        <v>145485</v>
      </c>
      <c r="F7" s="58">
        <f t="shared" si="3"/>
        <v>207996.75</v>
      </c>
      <c r="G7" s="58">
        <f t="shared" si="3"/>
        <v>273634.0875</v>
      </c>
      <c r="H7" s="58">
        <f t="shared" si="3"/>
        <v>342553.2919</v>
      </c>
      <c r="I7" s="58">
        <f t="shared" si="3"/>
        <v>414918.4565</v>
      </c>
      <c r="J7" s="58">
        <f t="shared" si="3"/>
        <v>490901.8793</v>
      </c>
      <c r="K7" s="58">
        <f t="shared" si="3"/>
        <v>570684.4733</v>
      </c>
      <c r="L7" s="58">
        <f t="shared" si="3"/>
        <v>654456.1969</v>
      </c>
      <c r="M7" s="59">
        <f t="shared" si="3"/>
        <v>742416.5068</v>
      </c>
    </row>
    <row r="8" ht="14.25" customHeight="1"/>
    <row r="9" ht="14.25" customHeight="1">
      <c r="A9" s="22" t="s">
        <v>97</v>
      </c>
      <c r="B9" s="23">
        <f t="shared" ref="B9:B10" si="4">SUM(B2:M2)</f>
        <v>19100551.82</v>
      </c>
    </row>
    <row r="10" ht="14.25" customHeight="1">
      <c r="A10" s="22" t="s">
        <v>90</v>
      </c>
      <c r="B10" s="23">
        <f t="shared" si="4"/>
        <v>15266055.18</v>
      </c>
    </row>
    <row r="11" ht="14.25" customHeight="1">
      <c r="A11" s="22" t="s">
        <v>98</v>
      </c>
      <c r="B11" s="23">
        <f>SUM(B7:M7)</f>
        <v>3925246.642</v>
      </c>
    </row>
    <row r="12" ht="14.25" customHeight="1">
      <c r="A12" s="22"/>
      <c r="B12" s="23"/>
    </row>
    <row r="13" ht="14.25" customHeight="1">
      <c r="A13" s="22" t="s">
        <v>99</v>
      </c>
      <c r="B13" s="60">
        <f>B11/B9</f>
        <v>0.2055043581</v>
      </c>
    </row>
    <row r="14" ht="14.25" customHeight="1"/>
    <row r="15" ht="14.25" customHeight="1">
      <c r="A15" s="9" t="s">
        <v>100</v>
      </c>
      <c r="B15" s="9" t="s">
        <v>101</v>
      </c>
    </row>
    <row r="16" ht="14.25" customHeight="1"/>
    <row r="17" ht="14.25" customHeight="1"/>
    <row r="18" ht="14.25" customHeight="1">
      <c r="A18" s="61"/>
      <c r="B18" s="61"/>
    </row>
    <row r="19" ht="14.25" customHeight="1">
      <c r="A19" s="62"/>
      <c r="B19" s="62"/>
    </row>
    <row r="20" ht="14.25" customHeight="1">
      <c r="A20" s="62"/>
      <c r="B20" s="62"/>
    </row>
    <row r="21" ht="14.25" customHeight="1">
      <c r="A21" s="62"/>
      <c r="B21" s="6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4:M4">
    <cfRule type="cellIs" dxfId="0" priority="1" operator="greaterThan">
      <formula>0</formula>
    </cfRule>
  </conditionalFormatting>
  <conditionalFormatting sqref="B4:M4">
    <cfRule type="cellIs" dxfId="1" priority="2" operator="lessThan">
      <formula>0</formula>
    </cfRule>
  </conditionalFormatting>
  <conditionalFormatting sqref="B7:M7">
    <cfRule type="cellIs" dxfId="0" priority="3" operator="greaterThan">
      <formula>0</formula>
    </cfRule>
  </conditionalFormatting>
  <conditionalFormatting sqref="B7:M7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16.5"/>
    <col customWidth="1" min="3" max="3" width="17.88"/>
    <col customWidth="1" min="4" max="13" width="16.5"/>
    <col customWidth="1" min="14" max="26" width="8.63"/>
  </cols>
  <sheetData>
    <row r="1" ht="14.25" customHeight="1">
      <c r="A1" s="63" t="s">
        <v>62</v>
      </c>
      <c r="B1" s="64" t="s">
        <v>63</v>
      </c>
      <c r="C1" s="64" t="s">
        <v>64</v>
      </c>
      <c r="D1" s="64" t="s">
        <v>65</v>
      </c>
      <c r="E1" s="64" t="s">
        <v>66</v>
      </c>
      <c r="F1" s="64" t="s">
        <v>67</v>
      </c>
      <c r="G1" s="64" t="s">
        <v>68</v>
      </c>
      <c r="H1" s="64" t="s">
        <v>69</v>
      </c>
      <c r="I1" s="64" t="s">
        <v>70</v>
      </c>
      <c r="J1" s="64" t="s">
        <v>71</v>
      </c>
      <c r="K1" s="64" t="s">
        <v>72</v>
      </c>
      <c r="L1" s="64" t="s">
        <v>73</v>
      </c>
      <c r="M1" s="65" t="s">
        <v>74</v>
      </c>
    </row>
    <row r="2" ht="14.25" customHeight="1">
      <c r="A2" s="66" t="s">
        <v>102</v>
      </c>
      <c r="B2" s="67">
        <v>0.0</v>
      </c>
      <c r="C2" s="68">
        <f t="shared" ref="C2:M2" si="1">B10</f>
        <v>967000</v>
      </c>
      <c r="D2" s="68">
        <f t="shared" si="1"/>
        <v>979750</v>
      </c>
      <c r="E2" s="68">
        <f t="shared" si="1"/>
        <v>1049200</v>
      </c>
      <c r="F2" s="68">
        <f t="shared" si="1"/>
        <v>1178185</v>
      </c>
      <c r="G2" s="68">
        <f t="shared" si="1"/>
        <v>1369681.75</v>
      </c>
      <c r="H2" s="68">
        <f t="shared" si="1"/>
        <v>1626815.838</v>
      </c>
      <c r="I2" s="68">
        <f t="shared" si="1"/>
        <v>1952869.129</v>
      </c>
      <c r="J2" s="68">
        <f t="shared" si="1"/>
        <v>2351287.586</v>
      </c>
      <c r="K2" s="68">
        <f t="shared" si="1"/>
        <v>2825689.465</v>
      </c>
      <c r="L2" s="68">
        <f t="shared" si="1"/>
        <v>3379873.938</v>
      </c>
      <c r="M2" s="69">
        <f t="shared" si="1"/>
        <v>4017830.135</v>
      </c>
    </row>
    <row r="3" ht="14.25" customHeight="1">
      <c r="A3" s="66" t="s">
        <v>103</v>
      </c>
      <c r="B3" s="70">
        <f>Revenue!B3</f>
        <v>1200000</v>
      </c>
      <c r="C3" s="70">
        <f>Revenue!C3</f>
        <v>1260000</v>
      </c>
      <c r="D3" s="70">
        <f>Revenue!D3</f>
        <v>1323000</v>
      </c>
      <c r="E3" s="70">
        <f>Revenue!E3</f>
        <v>1389150</v>
      </c>
      <c r="F3" s="70">
        <f>Revenue!F3</f>
        <v>1458607.5</v>
      </c>
      <c r="G3" s="70">
        <f>Revenue!G3</f>
        <v>1531537.875</v>
      </c>
      <c r="H3" s="70">
        <f>Revenue!H3</f>
        <v>1608114.769</v>
      </c>
      <c r="I3" s="70">
        <f>Revenue!I3</f>
        <v>1688520.507</v>
      </c>
      <c r="J3" s="70">
        <f>Revenue!J3</f>
        <v>1772946.533</v>
      </c>
      <c r="K3" s="70">
        <f>Revenue!K3</f>
        <v>1861593.859</v>
      </c>
      <c r="L3" s="70">
        <f>Revenue!L3</f>
        <v>1954673.552</v>
      </c>
      <c r="M3" s="71">
        <f>Revenue!M3</f>
        <v>2052407.23</v>
      </c>
    </row>
    <row r="4" ht="14.25" customHeight="1">
      <c r="A4" s="66" t="s">
        <v>104</v>
      </c>
      <c r="B4" s="70">
        <f>1000000</f>
        <v>1000000</v>
      </c>
      <c r="C4" s="70">
        <f t="shared" ref="C4:M4" si="2">0</f>
        <v>0</v>
      </c>
      <c r="D4" s="70">
        <f t="shared" si="2"/>
        <v>0</v>
      </c>
      <c r="E4" s="70">
        <f t="shared" si="2"/>
        <v>0</v>
      </c>
      <c r="F4" s="70">
        <f t="shared" si="2"/>
        <v>0</v>
      </c>
      <c r="G4" s="70">
        <f t="shared" si="2"/>
        <v>0</v>
      </c>
      <c r="H4" s="70">
        <f t="shared" si="2"/>
        <v>0</v>
      </c>
      <c r="I4" s="70">
        <f t="shared" si="2"/>
        <v>0</v>
      </c>
      <c r="J4" s="70">
        <f t="shared" si="2"/>
        <v>0</v>
      </c>
      <c r="K4" s="70">
        <f t="shared" si="2"/>
        <v>0</v>
      </c>
      <c r="L4" s="70">
        <f t="shared" si="2"/>
        <v>0</v>
      </c>
      <c r="M4" s="71">
        <f t="shared" si="2"/>
        <v>0</v>
      </c>
    </row>
    <row r="5" ht="14.25" customHeight="1">
      <c r="A5" s="66" t="s">
        <v>105</v>
      </c>
      <c r="B5" s="70">
        <f t="shared" ref="B5:M5" si="3">B3+B4</f>
        <v>2200000</v>
      </c>
      <c r="C5" s="70">
        <f t="shared" si="3"/>
        <v>1260000</v>
      </c>
      <c r="D5" s="70">
        <f t="shared" si="3"/>
        <v>1323000</v>
      </c>
      <c r="E5" s="70">
        <f t="shared" si="3"/>
        <v>1389150</v>
      </c>
      <c r="F5" s="70">
        <f t="shared" si="3"/>
        <v>1458607.5</v>
      </c>
      <c r="G5" s="70">
        <f t="shared" si="3"/>
        <v>1531537.875</v>
      </c>
      <c r="H5" s="70">
        <f t="shared" si="3"/>
        <v>1608114.769</v>
      </c>
      <c r="I5" s="70">
        <f t="shared" si="3"/>
        <v>1688520.507</v>
      </c>
      <c r="J5" s="70">
        <f t="shared" si="3"/>
        <v>1772946.533</v>
      </c>
      <c r="K5" s="70">
        <f t="shared" si="3"/>
        <v>1861593.859</v>
      </c>
      <c r="L5" s="70">
        <f t="shared" si="3"/>
        <v>1954673.552</v>
      </c>
      <c r="M5" s="71">
        <f t="shared" si="3"/>
        <v>2052407.23</v>
      </c>
    </row>
    <row r="6" ht="14.25" customHeight="1">
      <c r="A6" s="66" t="s">
        <v>106</v>
      </c>
      <c r="B6" s="70">
        <f>'P&amp;L'!B7</f>
        <v>-33000</v>
      </c>
      <c r="C6" s="70">
        <f>'P&amp;L'!C7</f>
        <v>29250</v>
      </c>
      <c r="D6" s="70">
        <f>'P&amp;L'!D7</f>
        <v>85950</v>
      </c>
      <c r="E6" s="70">
        <f>'P&amp;L'!E7</f>
        <v>145485</v>
      </c>
      <c r="F6" s="70">
        <f>'P&amp;L'!F7</f>
        <v>207996.75</v>
      </c>
      <c r="G6" s="70">
        <f>'P&amp;L'!G7</f>
        <v>273634.0875</v>
      </c>
      <c r="H6" s="70">
        <f>'P&amp;L'!H7</f>
        <v>342553.2919</v>
      </c>
      <c r="I6" s="70">
        <f>'P&amp;L'!I7</f>
        <v>414918.4565</v>
      </c>
      <c r="J6" s="70">
        <f>'P&amp;L'!J7</f>
        <v>490901.8793</v>
      </c>
      <c r="K6" s="70">
        <f>'P&amp;L'!K7</f>
        <v>570684.4733</v>
      </c>
      <c r="L6" s="70">
        <f>'P&amp;L'!L7</f>
        <v>654456.1969</v>
      </c>
      <c r="M6" s="71">
        <f>'P&amp;L'!M7</f>
        <v>742416.5068</v>
      </c>
    </row>
    <row r="7" ht="14.25" customHeight="1">
      <c r="A7" s="66" t="s">
        <v>107</v>
      </c>
      <c r="B7" s="70">
        <f>ABS('P&amp;L'!B6)</f>
        <v>0</v>
      </c>
      <c r="C7" s="70">
        <f>ABS('P&amp;L'!C6)</f>
        <v>8250</v>
      </c>
      <c r="D7" s="70">
        <f>ABS('P&amp;L'!D6)</f>
        <v>8250</v>
      </c>
      <c r="E7" s="70">
        <f>ABS('P&amp;L'!E6)</f>
        <v>8250</v>
      </c>
      <c r="F7" s="70">
        <f>ABS('P&amp;L'!F6)</f>
        <v>8250</v>
      </c>
      <c r="G7" s="70">
        <f>ABS('P&amp;L'!G6)</f>
        <v>8250</v>
      </c>
      <c r="H7" s="70">
        <f>ABS('P&amp;L'!H6)</f>
        <v>8250</v>
      </c>
      <c r="I7" s="70">
        <f>ABS('P&amp;L'!I6)</f>
        <v>8250</v>
      </c>
      <c r="J7" s="70">
        <f>ABS('P&amp;L'!J6)</f>
        <v>8250</v>
      </c>
      <c r="K7" s="70">
        <f>ABS('P&amp;L'!K6)</f>
        <v>8250</v>
      </c>
      <c r="L7" s="70">
        <f>ABS('P&amp;L'!L6)</f>
        <v>8250</v>
      </c>
      <c r="M7" s="71">
        <f>ABS('P&amp;L'!M6)</f>
        <v>8250</v>
      </c>
    </row>
    <row r="8" ht="14.25" customHeight="1">
      <c r="A8" s="66" t="s">
        <v>108</v>
      </c>
      <c r="B8" s="70">
        <f>Costs!B7+B7</f>
        <v>1233000</v>
      </c>
      <c r="C8" s="70">
        <f>Costs!C7+C7</f>
        <v>1247250</v>
      </c>
      <c r="D8" s="70">
        <f>Costs!D7+D7</f>
        <v>1253550</v>
      </c>
      <c r="E8" s="70">
        <f>Costs!E7+E7</f>
        <v>1260165</v>
      </c>
      <c r="F8" s="70">
        <f>Costs!F7+F7</f>
        <v>1267110.75</v>
      </c>
      <c r="G8" s="70">
        <f>Costs!G7+G7</f>
        <v>1274403.788</v>
      </c>
      <c r="H8" s="70">
        <f>Costs!H7+H7</f>
        <v>1282061.477</v>
      </c>
      <c r="I8" s="70">
        <f>Costs!I7+I7</f>
        <v>1290102.051</v>
      </c>
      <c r="J8" s="70">
        <f>Costs!J7+J7</f>
        <v>1298544.653</v>
      </c>
      <c r="K8" s="70">
        <f>Costs!K7+K7</f>
        <v>1307409.386</v>
      </c>
      <c r="L8" s="70">
        <f>Costs!L7+L7</f>
        <v>1316717.355</v>
      </c>
      <c r="M8" s="71">
        <f>Costs!M7+M7</f>
        <v>1326490.723</v>
      </c>
    </row>
    <row r="9" ht="14.25" customHeight="1">
      <c r="A9" s="66" t="s">
        <v>109</v>
      </c>
      <c r="B9" s="70">
        <f t="shared" ref="B9:M9" si="4">B5-B8</f>
        <v>967000</v>
      </c>
      <c r="C9" s="70">
        <f t="shared" si="4"/>
        <v>12750</v>
      </c>
      <c r="D9" s="70">
        <f t="shared" si="4"/>
        <v>69450</v>
      </c>
      <c r="E9" s="70">
        <f t="shared" si="4"/>
        <v>128985</v>
      </c>
      <c r="F9" s="70">
        <f t="shared" si="4"/>
        <v>191496.75</v>
      </c>
      <c r="G9" s="70">
        <f t="shared" si="4"/>
        <v>257134.0875</v>
      </c>
      <c r="H9" s="70">
        <f t="shared" si="4"/>
        <v>326053.2919</v>
      </c>
      <c r="I9" s="70">
        <f t="shared" si="4"/>
        <v>398418.4565</v>
      </c>
      <c r="J9" s="70">
        <f t="shared" si="4"/>
        <v>474401.8793</v>
      </c>
      <c r="K9" s="70">
        <f t="shared" si="4"/>
        <v>554184.4733</v>
      </c>
      <c r="L9" s="70">
        <f t="shared" si="4"/>
        <v>637956.1969</v>
      </c>
      <c r="M9" s="71">
        <f t="shared" si="4"/>
        <v>725916.5068</v>
      </c>
    </row>
    <row r="10" ht="14.25" customHeight="1">
      <c r="A10" s="66" t="s">
        <v>110</v>
      </c>
      <c r="B10" s="70">
        <f t="shared" ref="B10:M10" si="5">B2+B9</f>
        <v>967000</v>
      </c>
      <c r="C10" s="70">
        <f t="shared" si="5"/>
        <v>979750</v>
      </c>
      <c r="D10" s="70">
        <f t="shared" si="5"/>
        <v>1049200</v>
      </c>
      <c r="E10" s="70">
        <f t="shared" si="5"/>
        <v>1178185</v>
      </c>
      <c r="F10" s="70">
        <f t="shared" si="5"/>
        <v>1369681.75</v>
      </c>
      <c r="G10" s="70">
        <f t="shared" si="5"/>
        <v>1626815.838</v>
      </c>
      <c r="H10" s="70">
        <f t="shared" si="5"/>
        <v>1952869.129</v>
      </c>
      <c r="I10" s="70">
        <f t="shared" si="5"/>
        <v>2351287.586</v>
      </c>
      <c r="J10" s="70">
        <f t="shared" si="5"/>
        <v>2825689.465</v>
      </c>
      <c r="K10" s="70">
        <f t="shared" si="5"/>
        <v>3379873.938</v>
      </c>
      <c r="L10" s="70">
        <f t="shared" si="5"/>
        <v>4017830.135</v>
      </c>
      <c r="M10" s="71">
        <f t="shared" si="5"/>
        <v>4743746.642</v>
      </c>
    </row>
    <row r="11" ht="14.25" customHeight="1">
      <c r="A11" s="66" t="s">
        <v>111</v>
      </c>
      <c r="B11" s="70">
        <f>Revenue!B3*Assumptions!$B$22/365</f>
        <v>147945.2055</v>
      </c>
      <c r="C11" s="70">
        <f>Revenue!C3*Assumptions!$B$22/365</f>
        <v>155342.4658</v>
      </c>
      <c r="D11" s="70">
        <f>Revenue!D3*Assumptions!$B$22/365</f>
        <v>163109.589</v>
      </c>
      <c r="E11" s="70">
        <f>Revenue!E3*Assumptions!$B$22/365</f>
        <v>171265.0685</v>
      </c>
      <c r="F11" s="70">
        <f>Revenue!F3*Assumptions!$B$22/365</f>
        <v>179828.3219</v>
      </c>
      <c r="G11" s="70">
        <f>Revenue!G3*Assumptions!$B$22/365</f>
        <v>188819.738</v>
      </c>
      <c r="H11" s="70">
        <f>Revenue!H3*Assumptions!$B$22/365</f>
        <v>198260.7249</v>
      </c>
      <c r="I11" s="70">
        <f>Revenue!I3*Assumptions!$B$22/365</f>
        <v>208173.7612</v>
      </c>
      <c r="J11" s="70">
        <f>Revenue!J3*Assumptions!$B$22/365</f>
        <v>218582.4492</v>
      </c>
      <c r="K11" s="70">
        <f>Revenue!K3*Assumptions!$B$22/365</f>
        <v>229511.5717</v>
      </c>
      <c r="L11" s="70">
        <f>Revenue!L3*Assumptions!$B$22/365</f>
        <v>240987.1503</v>
      </c>
      <c r="M11" s="71">
        <f>Revenue!M3*Assumptions!$B$22/365</f>
        <v>253036.5078</v>
      </c>
    </row>
    <row r="12" ht="14.25" customHeight="1">
      <c r="A12" s="66" t="s">
        <v>112</v>
      </c>
      <c r="B12" s="70">
        <f t="shared" ref="B12:M12" si="6">B10-B11</f>
        <v>819054.7945</v>
      </c>
      <c r="C12" s="70">
        <f t="shared" si="6"/>
        <v>824407.5342</v>
      </c>
      <c r="D12" s="70">
        <f t="shared" si="6"/>
        <v>886090.411</v>
      </c>
      <c r="E12" s="70">
        <f t="shared" si="6"/>
        <v>1006919.932</v>
      </c>
      <c r="F12" s="70">
        <f t="shared" si="6"/>
        <v>1189853.428</v>
      </c>
      <c r="G12" s="70">
        <f t="shared" si="6"/>
        <v>1437996.099</v>
      </c>
      <c r="H12" s="70">
        <f t="shared" si="6"/>
        <v>1754608.404</v>
      </c>
      <c r="I12" s="70">
        <f t="shared" si="6"/>
        <v>2143113.825</v>
      </c>
      <c r="J12" s="70">
        <f t="shared" si="6"/>
        <v>2607107.016</v>
      </c>
      <c r="K12" s="70">
        <f t="shared" si="6"/>
        <v>3150362.367</v>
      </c>
      <c r="L12" s="70">
        <f t="shared" si="6"/>
        <v>3776842.985</v>
      </c>
      <c r="M12" s="71">
        <f t="shared" si="6"/>
        <v>4490710.134</v>
      </c>
    </row>
    <row r="13" ht="14.25" customHeight="1">
      <c r="A13" s="72" t="s">
        <v>113</v>
      </c>
      <c r="B13" s="70">
        <f>(Costs!B3+Costs!B4+Costs!B5)*30/30</f>
        <v>200000</v>
      </c>
      <c r="C13" s="70">
        <f>(Costs!C3+Costs!C4+Costs!C5)*30/30</f>
        <v>206000</v>
      </c>
      <c r="D13" s="70">
        <f>(Costs!D3+Costs!D4+Costs!D5)*30/30</f>
        <v>212300</v>
      </c>
      <c r="E13" s="70">
        <f>(Costs!E3+Costs!E4+Costs!E5)*30/30</f>
        <v>218915</v>
      </c>
      <c r="F13" s="70">
        <f>(Costs!F3+Costs!F4+Costs!F5)*30/30</f>
        <v>225860.75</v>
      </c>
      <c r="G13" s="70">
        <f>(Costs!G3+Costs!G4+Costs!G5)*30/30</f>
        <v>233153.7875</v>
      </c>
      <c r="H13" s="70">
        <f>(Costs!H3+Costs!H4+Costs!H5)*30/30</f>
        <v>240811.4769</v>
      </c>
      <c r="I13" s="70">
        <f>(Costs!I3+Costs!I4+Costs!I5)*30/30</f>
        <v>248852.0507</v>
      </c>
      <c r="J13" s="70">
        <f>(Costs!J3+Costs!J4+Costs!J5)*30/30</f>
        <v>257294.6533</v>
      </c>
      <c r="K13" s="70">
        <f>(Costs!K3+Costs!K4+Costs!K5)*30/30</f>
        <v>266159.3859</v>
      </c>
      <c r="L13" s="70">
        <f>(Costs!L3+Costs!L4+Costs!L5)*30/30</f>
        <v>275467.3552</v>
      </c>
      <c r="M13" s="70">
        <f>(Costs!M3+Costs!M4+Costs!M5)*30/30</f>
        <v>285240.723</v>
      </c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4.25" customHeight="1">
      <c r="A15" s="22" t="s">
        <v>114</v>
      </c>
      <c r="B15" s="23">
        <f>MIN(B10:M10)</f>
        <v>967000</v>
      </c>
    </row>
    <row r="16" ht="14.25" customHeight="1"/>
    <row r="17" ht="14.25" customHeight="1"/>
    <row r="18" ht="14.25" customHeight="1">
      <c r="A18" s="73"/>
      <c r="B18" s="73"/>
    </row>
    <row r="19" ht="14.25" customHeight="1">
      <c r="A19" s="42" t="s">
        <v>115</v>
      </c>
      <c r="B19" s="74">
        <f>B11-0</f>
        <v>147945.2055</v>
      </c>
      <c r="C19" s="74">
        <f t="shared" ref="C19:M19" si="7">C11-B11</f>
        <v>7397.260274</v>
      </c>
      <c r="D19" s="74">
        <f t="shared" si="7"/>
        <v>7767.123288</v>
      </c>
      <c r="E19" s="74">
        <f t="shared" si="7"/>
        <v>8155.479452</v>
      </c>
      <c r="F19" s="74">
        <f t="shared" si="7"/>
        <v>8563.253425</v>
      </c>
      <c r="G19" s="74">
        <f t="shared" si="7"/>
        <v>8991.416096</v>
      </c>
      <c r="H19" s="74">
        <f t="shared" si="7"/>
        <v>9440.986901</v>
      </c>
      <c r="I19" s="74">
        <f t="shared" si="7"/>
        <v>9913.036246</v>
      </c>
      <c r="J19" s="74">
        <f t="shared" si="7"/>
        <v>10408.68806</v>
      </c>
      <c r="K19" s="74">
        <f t="shared" si="7"/>
        <v>10929.12246</v>
      </c>
      <c r="L19" s="74">
        <f t="shared" si="7"/>
        <v>11475.57858</v>
      </c>
      <c r="M19" s="74">
        <f t="shared" si="7"/>
        <v>12049.35751</v>
      </c>
    </row>
    <row r="20" ht="14.25" customHeight="1">
      <c r="A20" s="42" t="s">
        <v>116</v>
      </c>
      <c r="B20" s="74">
        <f>B13-0</f>
        <v>200000</v>
      </c>
      <c r="C20" s="74">
        <f t="shared" ref="C20:M20" si="8">C13-B13</f>
        <v>6000</v>
      </c>
      <c r="D20" s="74">
        <f t="shared" si="8"/>
        <v>6300</v>
      </c>
      <c r="E20" s="74">
        <f t="shared" si="8"/>
        <v>6615</v>
      </c>
      <c r="F20" s="74">
        <f t="shared" si="8"/>
        <v>6945.75</v>
      </c>
      <c r="G20" s="74">
        <f t="shared" si="8"/>
        <v>7293.0375</v>
      </c>
      <c r="H20" s="74">
        <f t="shared" si="8"/>
        <v>7657.689375</v>
      </c>
      <c r="I20" s="74">
        <f t="shared" si="8"/>
        <v>8040.573844</v>
      </c>
      <c r="J20" s="74">
        <f t="shared" si="8"/>
        <v>8442.602536</v>
      </c>
      <c r="K20" s="74">
        <f t="shared" si="8"/>
        <v>8864.732663</v>
      </c>
      <c r="L20" s="74">
        <f t="shared" si="8"/>
        <v>9307.969296</v>
      </c>
      <c r="M20" s="74">
        <f t="shared" si="8"/>
        <v>9773.367761</v>
      </c>
    </row>
    <row r="21" ht="14.25" customHeight="1">
      <c r="A21" s="42" t="s">
        <v>117</v>
      </c>
      <c r="B21" s="74">
        <f t="shared" ref="B21:M21" si="9">B10-(B19-B20)</f>
        <v>1019054.795</v>
      </c>
      <c r="C21" s="74">
        <f t="shared" si="9"/>
        <v>978352.7397</v>
      </c>
      <c r="D21" s="74">
        <f t="shared" si="9"/>
        <v>1047732.877</v>
      </c>
      <c r="E21" s="74">
        <f t="shared" si="9"/>
        <v>1176644.521</v>
      </c>
      <c r="F21" s="74">
        <f t="shared" si="9"/>
        <v>1368064.247</v>
      </c>
      <c r="G21" s="74">
        <f t="shared" si="9"/>
        <v>1625117.459</v>
      </c>
      <c r="H21" s="74">
        <f t="shared" si="9"/>
        <v>1951085.832</v>
      </c>
      <c r="I21" s="74">
        <f t="shared" si="9"/>
        <v>2349415.123</v>
      </c>
      <c r="J21" s="74">
        <f t="shared" si="9"/>
        <v>2823723.38</v>
      </c>
      <c r="K21" s="74">
        <f t="shared" si="9"/>
        <v>3377809.549</v>
      </c>
      <c r="L21" s="74">
        <f t="shared" si="9"/>
        <v>4015662.526</v>
      </c>
      <c r="M21" s="74">
        <f t="shared" si="9"/>
        <v>4741470.652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6:M6">
    <cfRule type="cellIs" dxfId="1" priority="1" operator="lessThan">
      <formula>0</formula>
    </cfRule>
  </conditionalFormatting>
  <conditionalFormatting sqref="B6:M6">
    <cfRule type="cellIs" dxfId="0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2.0"/>
    <col customWidth="1" min="3" max="6" width="10.75"/>
    <col customWidth="1" min="7" max="7" width="14.0"/>
    <col customWidth="1" min="8" max="8" width="39.38"/>
    <col customWidth="1" min="9" max="26" width="8.63"/>
  </cols>
  <sheetData>
    <row r="1" ht="14.25" customHeight="1">
      <c r="A1" s="16" t="s">
        <v>118</v>
      </c>
      <c r="B1" s="75" t="s">
        <v>119</v>
      </c>
    </row>
    <row r="2" ht="14.25" customHeight="1">
      <c r="A2" s="76" t="s">
        <v>31</v>
      </c>
      <c r="B2" s="77" t="s">
        <v>79</v>
      </c>
      <c r="C2" s="77" t="s">
        <v>80</v>
      </c>
      <c r="D2" s="77" t="s">
        <v>81</v>
      </c>
      <c r="E2" s="77" t="s">
        <v>82</v>
      </c>
      <c r="F2" s="77" t="s">
        <v>83</v>
      </c>
      <c r="G2" s="77" t="s">
        <v>42</v>
      </c>
      <c r="H2" s="78" t="s">
        <v>120</v>
      </c>
    </row>
    <row r="3" ht="14.25" customHeight="1">
      <c r="A3" s="38" t="s">
        <v>34</v>
      </c>
      <c r="B3" s="48">
        <f t="array" ref="B3">INDEX(Revenue!$B$3:$M$3, MATCH($B$1, Revenue!$B$2:$M$2, 0)) * 0.25 * 0.2</f>
        <v>60000</v>
      </c>
      <c r="C3" s="48">
        <f t="array" ref="C3">INDEX(Revenue!$B$3:$M$3, MATCH($B$1, Revenue!$B$2:$M$2, 0)) * 0.25 * 0.2</f>
        <v>60000</v>
      </c>
      <c r="D3" s="48">
        <f t="array" ref="D3">INDEX(Revenue!$B$3:$M$3, MATCH($B$1, Revenue!$B$2:$M$2, 0)) * 0.25 * 0.2</f>
        <v>60000</v>
      </c>
      <c r="E3" s="48">
        <f t="array" ref="E3">INDEX(Revenue!$B$3:$M$3, MATCH($B$1, Revenue!$B$2:$M$2, 0)) * 0.25 * 0.2</f>
        <v>60000</v>
      </c>
      <c r="F3" s="48">
        <f t="array" ref="F3">INDEX(Revenue!$B$3:$M$3, MATCH($B$1, Revenue!$B$2:$M$2, 0)) * 0.25 * 0.2</f>
        <v>60000</v>
      </c>
      <c r="G3" s="79">
        <f>Revenue!$B$3 * Assumptions!B16</f>
        <v>300000</v>
      </c>
      <c r="H3" s="80">
        <f>G3/G8</f>
        <v>0.25</v>
      </c>
    </row>
    <row r="4" ht="14.25" customHeight="1">
      <c r="A4" s="38" t="s">
        <v>35</v>
      </c>
      <c r="B4" s="48">
        <f t="array" ref="B4">INDEX(Revenue!$B$3:$M$3, MATCH($B$1, Revenue!$B$2:$M$2, 0)) * 0.2 * 0.2</f>
        <v>48000</v>
      </c>
      <c r="C4" s="48">
        <f t="array" ref="C4">INDEX(Revenue!$B$3:$M$3, MATCH($B$1, Revenue!$B$2:$M$2, 0)) * 0.2 * 0.2</f>
        <v>48000</v>
      </c>
      <c r="D4" s="48">
        <f t="array" ref="D4">INDEX(Revenue!$B$3:$M$3, MATCH($B$1, Revenue!$B$2:$M$2, 0)) * 0.2 * 0.2</f>
        <v>48000</v>
      </c>
      <c r="E4" s="48">
        <f t="array" ref="E4">INDEX(Revenue!$B$3:$M$3, MATCH($B$1, Revenue!$B$2:$M$2, 0)) * 0.2 * 0.2</f>
        <v>48000</v>
      </c>
      <c r="F4" s="48">
        <f t="array" ref="F4">INDEX(Revenue!$B$3:$M$3, MATCH($B$1, Revenue!$B$2:$M$2, 0)) * 0.2 * 0.2</f>
        <v>48000</v>
      </c>
      <c r="G4" s="79">
        <f>Revenue!$B$3 * Assumptions!B17</f>
        <v>240000</v>
      </c>
      <c r="H4" s="80">
        <f>G4/G8</f>
        <v>0.2</v>
      </c>
    </row>
    <row r="5" ht="14.25" customHeight="1">
      <c r="A5" s="38" t="s">
        <v>37</v>
      </c>
      <c r="B5" s="48">
        <f t="array" ref="B5">INDEX(Revenue!$B$3:$M$3, MATCH($B$1, Revenue!$B$2:$M$2, 0)) * 0.18 * 0.2</f>
        <v>43200</v>
      </c>
      <c r="C5" s="48">
        <f t="array" ref="C5">INDEX(Revenue!$B$3:$M$3, MATCH($B$1, Revenue!$B$2:$M$2, 0)) * 0.18 * 0.2</f>
        <v>43200</v>
      </c>
      <c r="D5" s="48">
        <f t="array" ref="D5">INDEX(Revenue!$B$3:$M$3, MATCH($B$1, Revenue!$B$2:$M$2, 0)) * 0.18 * 0.2</f>
        <v>43200</v>
      </c>
      <c r="E5" s="48">
        <f t="array" ref="E5">INDEX(Revenue!$B$3:$M$3, MATCH($B$1, Revenue!$B$2:$M$2, 0)) * 0.18 * 0.2</f>
        <v>43200</v>
      </c>
      <c r="F5" s="48">
        <f t="array" ref="F5">INDEX(Revenue!$B$3:$M$3, MATCH($B$1, Revenue!$B$2:$M$2, 0)) * 0.18 * 0.2</f>
        <v>43200</v>
      </c>
      <c r="G5" s="79">
        <f>Revenue!$B$3 * Assumptions!B18</f>
        <v>216000</v>
      </c>
      <c r="H5" s="80">
        <f>G5/G8</f>
        <v>0.18</v>
      </c>
    </row>
    <row r="6" ht="14.25" customHeight="1">
      <c r="A6" s="38" t="s">
        <v>38</v>
      </c>
      <c r="B6" s="48">
        <f t="array" ref="B6">INDEX(Revenue!$B$3:$M$3, MATCH($B$1, Revenue!$B$2:$M$2, 0)) * 0.22 * 0.2</f>
        <v>52800</v>
      </c>
      <c r="C6" s="48">
        <f t="array" ref="C6">INDEX(Revenue!$B$3:$M$3, MATCH($B$1, Revenue!$B$2:$M$2, 0)) * 0.22 * 0.2</f>
        <v>52800</v>
      </c>
      <c r="D6" s="48">
        <f t="array" ref="D6">INDEX(Revenue!$B$3:$M$3, MATCH($B$1, Revenue!$B$2:$M$2, 0)) * 0.22 * 0.2</f>
        <v>52800</v>
      </c>
      <c r="E6" s="48">
        <f t="array" ref="E6">INDEX(Revenue!$B$3:$M$3, MATCH($B$1, Revenue!$B$2:$M$2, 0)) * 0.22 * 0.2</f>
        <v>52800</v>
      </c>
      <c r="F6" s="48">
        <f t="array" ref="F6">INDEX(Revenue!$B$3:$M$3, MATCH($B$1, Revenue!$B$2:$M$2, 0)) * 0.22 * 0.2</f>
        <v>52800</v>
      </c>
      <c r="G6" s="79">
        <f>Revenue!$B$3 * Assumptions!B19</f>
        <v>264000</v>
      </c>
      <c r="H6" s="80">
        <f>G6/G8</f>
        <v>0.22</v>
      </c>
    </row>
    <row r="7" ht="14.25" customHeight="1">
      <c r="A7" s="38" t="s">
        <v>40</v>
      </c>
      <c r="B7" s="48">
        <f t="array" ref="B7">INDEX(Revenue!$B$3:$M$3, MATCH($B$1, Revenue!$B$2:$M$2, 0)) * 0.15 * 0.2</f>
        <v>36000</v>
      </c>
      <c r="C7" s="48">
        <f t="array" ref="C7">INDEX(Revenue!$B$3:$M$3, MATCH($B$1, Revenue!$B$2:$M$2, 0)) * 0.15 * 0.2</f>
        <v>36000</v>
      </c>
      <c r="D7" s="48">
        <f t="array" ref="D7">INDEX(Revenue!$B$3:$M$3, MATCH($B$1, Revenue!$B$2:$M$2, 0)) * 0.15 * 0.2</f>
        <v>36000</v>
      </c>
      <c r="E7" s="48">
        <f t="array" ref="E7">INDEX(Revenue!$B$3:$M$3, MATCH($B$1, Revenue!$B$2:$M$2, 0)) * 0.15 * 0.2</f>
        <v>36000</v>
      </c>
      <c r="F7" s="48">
        <f t="array" ref="F7">INDEX(Revenue!$B$3:$M$3, MATCH($B$1, Revenue!$B$2:$M$2, 0)) * 0.15 * 0.2</f>
        <v>36000</v>
      </c>
      <c r="G7" s="79">
        <f>Revenue!$B$3 * Assumptions!B20</f>
        <v>180000</v>
      </c>
      <c r="H7" s="80">
        <f>G7/G8</f>
        <v>0.15</v>
      </c>
    </row>
    <row r="8" ht="14.25" customHeight="1">
      <c r="A8" s="39" t="s">
        <v>42</v>
      </c>
      <c r="B8" s="81">
        <f t="shared" ref="B8:H8" si="1">SUM(B3:B7)</f>
        <v>240000</v>
      </c>
      <c r="C8" s="81">
        <f t="shared" si="1"/>
        <v>240000</v>
      </c>
      <c r="D8" s="81">
        <f t="shared" si="1"/>
        <v>240000</v>
      </c>
      <c r="E8" s="81">
        <f t="shared" si="1"/>
        <v>240000</v>
      </c>
      <c r="F8" s="81">
        <f t="shared" si="1"/>
        <v>240000</v>
      </c>
      <c r="G8" s="81">
        <f t="shared" si="1"/>
        <v>1200000</v>
      </c>
      <c r="H8" s="82">
        <f t="shared" si="1"/>
        <v>1</v>
      </c>
    </row>
    <row r="9" ht="14.25" customHeight="1"/>
    <row r="10" ht="14.25" customHeight="1">
      <c r="A10" s="9" t="s">
        <v>121</v>
      </c>
      <c r="B10" s="48">
        <f t="array" ref="B10">INDEX(Revenue!$B$3:$M$3, MATCH($B$1, Revenue!$B$2:$M$2, 0))</f>
        <v>1200000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1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63"/>
    <col customWidth="1" min="3" max="3" width="17.13"/>
    <col customWidth="1" min="4" max="4" width="13.5"/>
    <col customWidth="1" min="5" max="5" width="12.25"/>
    <col customWidth="1" min="6" max="6" width="98.5"/>
    <col customWidth="1" min="7" max="26" width="8.63"/>
  </cols>
  <sheetData>
    <row r="1" ht="14.25" customHeight="1">
      <c r="A1" s="83" t="s">
        <v>118</v>
      </c>
      <c r="B1" s="84" t="s">
        <v>122</v>
      </c>
      <c r="C1" s="84" t="s">
        <v>123</v>
      </c>
      <c r="D1" s="84" t="s">
        <v>124</v>
      </c>
      <c r="E1" s="84" t="s">
        <v>125</v>
      </c>
      <c r="F1" s="85" t="s">
        <v>126</v>
      </c>
    </row>
    <row r="2" ht="14.25" customHeight="1">
      <c r="A2" s="5" t="s">
        <v>63</v>
      </c>
      <c r="B2" s="86">
        <f>Revenue!B3</f>
        <v>1200000</v>
      </c>
      <c r="C2" s="23">
        <v>1248000.0</v>
      </c>
      <c r="D2" s="23">
        <f t="shared" ref="D2:D13" si="1">C2-B2</f>
        <v>48000</v>
      </c>
      <c r="E2" s="60">
        <f t="shared" ref="E2:E13" si="2">(C2-B2)/B2</f>
        <v>0.04</v>
      </c>
      <c r="F2" s="87" t="s">
        <v>127</v>
      </c>
    </row>
    <row r="3" ht="14.25" customHeight="1">
      <c r="A3" s="5" t="s">
        <v>64</v>
      </c>
      <c r="B3" s="86">
        <f>Revenue!C3</f>
        <v>1260000</v>
      </c>
      <c r="C3" s="23">
        <v>1234800.0</v>
      </c>
      <c r="D3" s="23">
        <f t="shared" si="1"/>
        <v>-25200</v>
      </c>
      <c r="E3" s="60">
        <f t="shared" si="2"/>
        <v>-0.02</v>
      </c>
      <c r="F3" s="6" t="s">
        <v>128</v>
      </c>
    </row>
    <row r="4" ht="14.25" customHeight="1">
      <c r="A4" s="5" t="s">
        <v>65</v>
      </c>
      <c r="B4" s="86">
        <f>Revenue!D3</f>
        <v>1323000</v>
      </c>
      <c r="C4" s="23">
        <v>1243620.0</v>
      </c>
      <c r="D4" s="23">
        <f t="shared" si="1"/>
        <v>-79380</v>
      </c>
      <c r="E4" s="60">
        <f t="shared" si="2"/>
        <v>-0.06</v>
      </c>
      <c r="F4" s="87" t="s">
        <v>129</v>
      </c>
    </row>
    <row r="5" ht="14.25" customHeight="1">
      <c r="A5" s="5" t="s">
        <v>66</v>
      </c>
      <c r="B5" s="86">
        <f>Revenue!E3</f>
        <v>1389150</v>
      </c>
      <c r="C5" s="23">
        <v>1389150.0</v>
      </c>
      <c r="D5" s="23">
        <f t="shared" si="1"/>
        <v>0</v>
      </c>
      <c r="E5" s="60">
        <f t="shared" si="2"/>
        <v>0</v>
      </c>
      <c r="F5" s="87" t="s">
        <v>130</v>
      </c>
    </row>
    <row r="6" ht="14.25" customHeight="1">
      <c r="A6" s="5" t="s">
        <v>67</v>
      </c>
      <c r="B6" s="86">
        <f>Revenue!F3</f>
        <v>1458607.5</v>
      </c>
      <c r="C6" s="23">
        <v>1341918.9000000001</v>
      </c>
      <c r="D6" s="23">
        <f t="shared" si="1"/>
        <v>-116688.6</v>
      </c>
      <c r="E6" s="60">
        <f t="shared" si="2"/>
        <v>-0.08</v>
      </c>
      <c r="F6" s="87" t="s">
        <v>131</v>
      </c>
    </row>
    <row r="7" ht="14.25" customHeight="1">
      <c r="A7" s="5" t="s">
        <v>68</v>
      </c>
      <c r="B7" s="86">
        <f>Revenue!G3</f>
        <v>1531537.875</v>
      </c>
      <c r="C7" s="23">
        <v>1485591.73875</v>
      </c>
      <c r="D7" s="23">
        <f t="shared" si="1"/>
        <v>-45946.13625</v>
      </c>
      <c r="E7" s="60">
        <f t="shared" si="2"/>
        <v>-0.03</v>
      </c>
      <c r="F7" s="87" t="s">
        <v>132</v>
      </c>
    </row>
    <row r="8" ht="14.25" customHeight="1">
      <c r="A8" s="5" t="s">
        <v>69</v>
      </c>
      <c r="B8" s="86">
        <f>Revenue!H3</f>
        <v>1608114.769</v>
      </c>
      <c r="C8" s="23">
        <v>1704601.6548750002</v>
      </c>
      <c r="D8" s="23">
        <f t="shared" si="1"/>
        <v>96486.88613</v>
      </c>
      <c r="E8" s="60">
        <f t="shared" si="2"/>
        <v>0.06</v>
      </c>
      <c r="F8" s="87" t="s">
        <v>133</v>
      </c>
    </row>
    <row r="9" ht="14.25" customHeight="1">
      <c r="A9" s="5" t="s">
        <v>70</v>
      </c>
      <c r="B9" s="86">
        <f>Revenue!I3</f>
        <v>1688520.507</v>
      </c>
      <c r="C9" s="23">
        <v>1756061.3274750002</v>
      </c>
      <c r="D9" s="23">
        <f t="shared" si="1"/>
        <v>67540.82029</v>
      </c>
      <c r="E9" s="60">
        <f t="shared" si="2"/>
        <v>0.04</v>
      </c>
      <c r="F9" s="87" t="s">
        <v>134</v>
      </c>
    </row>
    <row r="10" ht="14.25" customHeight="1">
      <c r="A10" s="5" t="s">
        <v>71</v>
      </c>
      <c r="B10" s="86">
        <f>Revenue!J3</f>
        <v>1772946.533</v>
      </c>
      <c r="C10" s="23">
        <v>1932511.7204760942</v>
      </c>
      <c r="D10" s="23">
        <f t="shared" si="1"/>
        <v>159565.1879</v>
      </c>
      <c r="E10" s="60">
        <f t="shared" si="2"/>
        <v>0.09</v>
      </c>
      <c r="F10" s="87" t="s">
        <v>135</v>
      </c>
    </row>
    <row r="11" ht="14.25" customHeight="1">
      <c r="A11" s="5" t="s">
        <v>72</v>
      </c>
      <c r="B11" s="86">
        <f>Revenue!K3</f>
        <v>1861593.859</v>
      </c>
      <c r="C11" s="23">
        <v>1768514.1662155082</v>
      </c>
      <c r="D11" s="23">
        <f t="shared" si="1"/>
        <v>-93079.69296</v>
      </c>
      <c r="E11" s="60">
        <f t="shared" si="2"/>
        <v>-0.05</v>
      </c>
      <c r="F11" s="6" t="s">
        <v>136</v>
      </c>
    </row>
    <row r="12" ht="14.25" customHeight="1">
      <c r="A12" s="5" t="s">
        <v>73</v>
      </c>
      <c r="B12" s="86">
        <f>Revenue!L3</f>
        <v>1954673.552</v>
      </c>
      <c r="C12" s="23">
        <v>1935126.8166116008</v>
      </c>
      <c r="D12" s="23">
        <f t="shared" si="1"/>
        <v>-19546.73552</v>
      </c>
      <c r="E12" s="60">
        <f t="shared" si="2"/>
        <v>-0.01</v>
      </c>
      <c r="F12" s="87" t="s">
        <v>137</v>
      </c>
    </row>
    <row r="13" ht="14.25" customHeight="1">
      <c r="A13" s="17" t="s">
        <v>74</v>
      </c>
      <c r="B13" s="88">
        <f>Revenue!M3</f>
        <v>2052407.23</v>
      </c>
      <c r="C13" s="23">
        <v>2216599.808118743</v>
      </c>
      <c r="D13" s="35">
        <f t="shared" si="1"/>
        <v>164192.5784</v>
      </c>
      <c r="E13" s="89">
        <f t="shared" si="2"/>
        <v>0.08</v>
      </c>
      <c r="F13" s="90" t="s">
        <v>138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13.75"/>
    <col customWidth="1" min="4" max="4" width="14.0"/>
    <col customWidth="1" min="5" max="5" width="10.88"/>
    <col customWidth="1" min="6" max="6" width="10.13"/>
    <col customWidth="1" min="7" max="26" width="8.63"/>
  </cols>
  <sheetData>
    <row r="1" ht="14.25" customHeight="1">
      <c r="A1" s="91" t="s">
        <v>139</v>
      </c>
      <c r="B1" s="91" t="s">
        <v>31</v>
      </c>
      <c r="C1" s="91" t="s">
        <v>140</v>
      </c>
      <c r="D1" s="91" t="s">
        <v>123</v>
      </c>
      <c r="E1" s="91" t="s">
        <v>124</v>
      </c>
      <c r="F1" s="91" t="s">
        <v>125</v>
      </c>
      <c r="G1" s="91" t="s">
        <v>141</v>
      </c>
    </row>
    <row r="2" ht="14.25" customHeight="1">
      <c r="A2" s="9" t="s">
        <v>142</v>
      </c>
      <c r="B2" s="9" t="str">
        <f t="shared" ref="B2:B51" si="1">"Region"&amp;INT((ROW()-2)/10)+1</f>
        <v>Region1</v>
      </c>
      <c r="C2" s="47">
        <f t="array" ref="C2">INDEX(Region_BU!$G$3:$G$7, G2)/10</f>
        <v>30000</v>
      </c>
      <c r="D2" s="47">
        <v>32400.000000000004</v>
      </c>
      <c r="E2" s="47">
        <f t="shared" ref="E2:E51" si="2">D2-C2</f>
        <v>2400</v>
      </c>
      <c r="F2" s="92">
        <f t="shared" ref="F2:F51" si="3">E2/C2</f>
        <v>0.08</v>
      </c>
      <c r="G2" s="9" t="str">
        <f t="shared" ref="G2:G51" si="4">RIGHT(B2,1)</f>
        <v>1</v>
      </c>
      <c r="J2" s="9" t="s">
        <v>143</v>
      </c>
    </row>
    <row r="3" ht="14.25" customHeight="1">
      <c r="A3" s="9" t="s">
        <v>144</v>
      </c>
      <c r="B3" s="9" t="str">
        <f t="shared" si="1"/>
        <v>Region1</v>
      </c>
      <c r="C3" s="47">
        <f t="array" ref="C3">INDEX(Region_BU!$G$3:$G$7, G3)/10</f>
        <v>30000</v>
      </c>
      <c r="D3" s="47">
        <v>28800.0</v>
      </c>
      <c r="E3" s="47">
        <f t="shared" si="2"/>
        <v>-1200</v>
      </c>
      <c r="F3" s="92">
        <f t="shared" si="3"/>
        <v>-0.04</v>
      </c>
      <c r="G3" s="9" t="str">
        <f t="shared" si="4"/>
        <v>1</v>
      </c>
      <c r="J3" s="9" t="s">
        <v>145</v>
      </c>
    </row>
    <row r="4" ht="14.25" customHeight="1">
      <c r="A4" s="9" t="s">
        <v>146</v>
      </c>
      <c r="B4" s="9" t="str">
        <f t="shared" si="1"/>
        <v>Region1</v>
      </c>
      <c r="C4" s="47">
        <f t="array" ref="C4">INDEX(Region_BU!$G$3:$G$7, G4)/10</f>
        <v>30000</v>
      </c>
      <c r="D4" s="47">
        <v>29100.0</v>
      </c>
      <c r="E4" s="47">
        <f t="shared" si="2"/>
        <v>-900</v>
      </c>
      <c r="F4" s="92">
        <f t="shared" si="3"/>
        <v>-0.03</v>
      </c>
      <c r="G4" s="9" t="str">
        <f t="shared" si="4"/>
        <v>1</v>
      </c>
    </row>
    <row r="5" ht="14.25" customHeight="1">
      <c r="A5" s="9" t="s">
        <v>147</v>
      </c>
      <c r="B5" s="9" t="str">
        <f t="shared" si="1"/>
        <v>Region1</v>
      </c>
      <c r="C5" s="47">
        <f t="array" ref="C5">INDEX(Region_BU!$G$3:$G$7, G5)/10</f>
        <v>30000</v>
      </c>
      <c r="D5" s="47">
        <v>27600.0</v>
      </c>
      <c r="E5" s="47">
        <f t="shared" si="2"/>
        <v>-2400</v>
      </c>
      <c r="F5" s="92">
        <f t="shared" si="3"/>
        <v>-0.08</v>
      </c>
      <c r="G5" s="9" t="str">
        <f t="shared" si="4"/>
        <v>1</v>
      </c>
    </row>
    <row r="6" ht="14.25" customHeight="1">
      <c r="A6" s="9" t="s">
        <v>148</v>
      </c>
      <c r="B6" s="9" t="str">
        <f t="shared" si="1"/>
        <v>Region1</v>
      </c>
      <c r="C6" s="47">
        <f t="array" ref="C6">INDEX(Region_BU!$G$3:$G$7, G6)/10</f>
        <v>30000</v>
      </c>
      <c r="D6" s="47">
        <v>27600.0</v>
      </c>
      <c r="E6" s="47">
        <f t="shared" si="2"/>
        <v>-2400</v>
      </c>
      <c r="F6" s="92">
        <f t="shared" si="3"/>
        <v>-0.08</v>
      </c>
      <c r="G6" s="9" t="str">
        <f t="shared" si="4"/>
        <v>1</v>
      </c>
    </row>
    <row r="7" ht="14.25" customHeight="1">
      <c r="A7" s="9" t="s">
        <v>149</v>
      </c>
      <c r="B7" s="9" t="str">
        <f t="shared" si="1"/>
        <v>Region1</v>
      </c>
      <c r="C7" s="47">
        <f t="array" ref="C7">INDEX(Region_BU!$G$3:$G$7, G7)/10</f>
        <v>30000</v>
      </c>
      <c r="D7" s="47">
        <v>32700.000000000004</v>
      </c>
      <c r="E7" s="47">
        <f t="shared" si="2"/>
        <v>2700</v>
      </c>
      <c r="F7" s="92">
        <f t="shared" si="3"/>
        <v>0.09</v>
      </c>
      <c r="G7" s="9" t="str">
        <f t="shared" si="4"/>
        <v>1</v>
      </c>
    </row>
    <row r="8" ht="14.25" customHeight="1">
      <c r="A8" s="9" t="s">
        <v>150</v>
      </c>
      <c r="B8" s="9" t="str">
        <f t="shared" si="1"/>
        <v>Region1</v>
      </c>
      <c r="C8" s="47">
        <f t="array" ref="C8">INDEX(Region_BU!$G$3:$G$7, G8)/10</f>
        <v>30000</v>
      </c>
      <c r="D8" s="47">
        <v>27300.0</v>
      </c>
      <c r="E8" s="47">
        <f t="shared" si="2"/>
        <v>-2700</v>
      </c>
      <c r="F8" s="92">
        <f t="shared" si="3"/>
        <v>-0.09</v>
      </c>
      <c r="G8" s="9" t="str">
        <f t="shared" si="4"/>
        <v>1</v>
      </c>
    </row>
    <row r="9" ht="14.25" customHeight="1">
      <c r="A9" s="9" t="s">
        <v>151</v>
      </c>
      <c r="B9" s="9" t="str">
        <f t="shared" si="1"/>
        <v>Region1</v>
      </c>
      <c r="C9" s="47">
        <f t="array" ref="C9">INDEX(Region_BU!$G$3:$G$7, G9)/10</f>
        <v>30000</v>
      </c>
      <c r="D9" s="47">
        <v>28500.0</v>
      </c>
      <c r="E9" s="47">
        <f t="shared" si="2"/>
        <v>-1500</v>
      </c>
      <c r="F9" s="92">
        <f t="shared" si="3"/>
        <v>-0.05</v>
      </c>
      <c r="G9" s="9" t="str">
        <f t="shared" si="4"/>
        <v>1</v>
      </c>
    </row>
    <row r="10" ht="14.25" customHeight="1">
      <c r="A10" s="9" t="s">
        <v>152</v>
      </c>
      <c r="B10" s="9" t="str">
        <f t="shared" si="1"/>
        <v>Region1</v>
      </c>
      <c r="C10" s="47">
        <f t="array" ref="C10">INDEX(Region_BU!$G$3:$G$7, G10)/10</f>
        <v>30000</v>
      </c>
      <c r="D10" s="47">
        <v>29700.0</v>
      </c>
      <c r="E10" s="47">
        <f t="shared" si="2"/>
        <v>-300</v>
      </c>
      <c r="F10" s="92">
        <f t="shared" si="3"/>
        <v>-0.01</v>
      </c>
      <c r="G10" s="9" t="str">
        <f t="shared" si="4"/>
        <v>1</v>
      </c>
    </row>
    <row r="11" ht="14.25" customHeight="1">
      <c r="A11" s="9" t="s">
        <v>153</v>
      </c>
      <c r="B11" s="9" t="str">
        <f t="shared" si="1"/>
        <v>Region1</v>
      </c>
      <c r="C11" s="47">
        <f t="array" ref="C11">INDEX(Region_BU!$G$3:$G$7, G11)/10</f>
        <v>30000</v>
      </c>
      <c r="D11" s="47">
        <v>33000.0</v>
      </c>
      <c r="E11" s="47">
        <f t="shared" si="2"/>
        <v>3000</v>
      </c>
      <c r="F11" s="92">
        <f t="shared" si="3"/>
        <v>0.1</v>
      </c>
      <c r="G11" s="9" t="str">
        <f t="shared" si="4"/>
        <v>1</v>
      </c>
    </row>
    <row r="12" ht="14.25" customHeight="1">
      <c r="A12" s="9" t="s">
        <v>154</v>
      </c>
      <c r="B12" s="9" t="str">
        <f t="shared" si="1"/>
        <v>Region2</v>
      </c>
      <c r="C12" s="47">
        <f t="array" ref="C12">INDEX(Region_BU!$G$3:$G$7, G12)/10</f>
        <v>24000</v>
      </c>
      <c r="D12" s="47">
        <v>24240.0</v>
      </c>
      <c r="E12" s="47">
        <f t="shared" si="2"/>
        <v>240</v>
      </c>
      <c r="F12" s="92">
        <f t="shared" si="3"/>
        <v>0.01</v>
      </c>
      <c r="G12" s="9" t="str">
        <f t="shared" si="4"/>
        <v>2</v>
      </c>
    </row>
    <row r="13" ht="14.25" customHeight="1">
      <c r="A13" s="9" t="s">
        <v>155</v>
      </c>
      <c r="B13" s="9" t="str">
        <f t="shared" si="1"/>
        <v>Region2</v>
      </c>
      <c r="C13" s="47">
        <f t="array" ref="C13">INDEX(Region_BU!$G$3:$G$7, G13)/10</f>
        <v>24000</v>
      </c>
      <c r="D13" s="47">
        <v>26400.000000000004</v>
      </c>
      <c r="E13" s="47">
        <f t="shared" si="2"/>
        <v>2400</v>
      </c>
      <c r="F13" s="92">
        <f t="shared" si="3"/>
        <v>0.1</v>
      </c>
      <c r="G13" s="9" t="str">
        <f t="shared" si="4"/>
        <v>2</v>
      </c>
    </row>
    <row r="14" ht="14.25" customHeight="1">
      <c r="A14" s="9" t="s">
        <v>156</v>
      </c>
      <c r="B14" s="9" t="str">
        <f t="shared" si="1"/>
        <v>Region2</v>
      </c>
      <c r="C14" s="47">
        <f t="array" ref="C14">INDEX(Region_BU!$G$3:$G$7, G14)/10</f>
        <v>24000</v>
      </c>
      <c r="D14" s="47">
        <v>24240.0</v>
      </c>
      <c r="E14" s="47">
        <f t="shared" si="2"/>
        <v>240</v>
      </c>
      <c r="F14" s="92">
        <f t="shared" si="3"/>
        <v>0.01</v>
      </c>
      <c r="G14" s="9" t="str">
        <f t="shared" si="4"/>
        <v>2</v>
      </c>
    </row>
    <row r="15" ht="14.25" customHeight="1">
      <c r="A15" s="9" t="s">
        <v>157</v>
      </c>
      <c r="B15" s="9" t="str">
        <f t="shared" si="1"/>
        <v>Region2</v>
      </c>
      <c r="C15" s="47">
        <f t="array" ref="C15">INDEX(Region_BU!$G$3:$G$7, G15)/10</f>
        <v>24000</v>
      </c>
      <c r="D15" s="47">
        <v>24000.0</v>
      </c>
      <c r="E15" s="47">
        <f t="shared" si="2"/>
        <v>0</v>
      </c>
      <c r="F15" s="92">
        <f t="shared" si="3"/>
        <v>0</v>
      </c>
      <c r="G15" s="9" t="str">
        <f t="shared" si="4"/>
        <v>2</v>
      </c>
    </row>
    <row r="16" ht="14.25" customHeight="1">
      <c r="A16" s="9" t="s">
        <v>158</v>
      </c>
      <c r="B16" s="9" t="str">
        <f t="shared" si="1"/>
        <v>Region2</v>
      </c>
      <c r="C16" s="47">
        <f t="array" ref="C16">INDEX(Region_BU!$G$3:$G$7, G16)/10</f>
        <v>24000</v>
      </c>
      <c r="D16" s="47">
        <v>26160.000000000004</v>
      </c>
      <c r="E16" s="47">
        <f t="shared" si="2"/>
        <v>2160</v>
      </c>
      <c r="F16" s="92">
        <f t="shared" si="3"/>
        <v>0.09</v>
      </c>
      <c r="G16" s="9" t="str">
        <f t="shared" si="4"/>
        <v>2</v>
      </c>
    </row>
    <row r="17" ht="14.25" customHeight="1">
      <c r="A17" s="9" t="s">
        <v>159</v>
      </c>
      <c r="B17" s="9" t="str">
        <f t="shared" si="1"/>
        <v>Region2</v>
      </c>
      <c r="C17" s="47">
        <f t="array" ref="C17">INDEX(Region_BU!$G$3:$G$7, G17)/10</f>
        <v>24000</v>
      </c>
      <c r="D17" s="47">
        <v>24240.0</v>
      </c>
      <c r="E17" s="47">
        <f t="shared" si="2"/>
        <v>240</v>
      </c>
      <c r="F17" s="92">
        <f t="shared" si="3"/>
        <v>0.01</v>
      </c>
      <c r="G17" s="9" t="str">
        <f t="shared" si="4"/>
        <v>2</v>
      </c>
    </row>
    <row r="18" ht="14.25" customHeight="1">
      <c r="A18" s="9" t="s">
        <v>160</v>
      </c>
      <c r="B18" s="9" t="str">
        <f t="shared" si="1"/>
        <v>Region2</v>
      </c>
      <c r="C18" s="47">
        <f t="array" ref="C18">INDEX(Region_BU!$G$3:$G$7, G18)/10</f>
        <v>24000</v>
      </c>
      <c r="D18" s="47">
        <v>26400.000000000004</v>
      </c>
      <c r="E18" s="47">
        <f t="shared" si="2"/>
        <v>2400</v>
      </c>
      <c r="F18" s="92">
        <f t="shared" si="3"/>
        <v>0.1</v>
      </c>
      <c r="G18" s="9" t="str">
        <f t="shared" si="4"/>
        <v>2</v>
      </c>
    </row>
    <row r="19" ht="14.25" customHeight="1">
      <c r="A19" s="9" t="s">
        <v>161</v>
      </c>
      <c r="B19" s="9" t="str">
        <f t="shared" si="1"/>
        <v>Region2</v>
      </c>
      <c r="C19" s="47">
        <f t="array" ref="C19">INDEX(Region_BU!$G$3:$G$7, G19)/10</f>
        <v>24000</v>
      </c>
      <c r="D19" s="47">
        <v>22560.0</v>
      </c>
      <c r="E19" s="47">
        <f t="shared" si="2"/>
        <v>-1440</v>
      </c>
      <c r="F19" s="92">
        <f t="shared" si="3"/>
        <v>-0.06</v>
      </c>
      <c r="G19" s="9" t="str">
        <f t="shared" si="4"/>
        <v>2</v>
      </c>
    </row>
    <row r="20" ht="14.25" customHeight="1">
      <c r="A20" s="9" t="s">
        <v>162</v>
      </c>
      <c r="B20" s="9" t="str">
        <f t="shared" si="1"/>
        <v>Region2</v>
      </c>
      <c r="C20" s="47">
        <f t="array" ref="C20">INDEX(Region_BU!$G$3:$G$7, G20)/10</f>
        <v>24000</v>
      </c>
      <c r="D20" s="47">
        <v>26400.000000000004</v>
      </c>
      <c r="E20" s="47">
        <f t="shared" si="2"/>
        <v>2400</v>
      </c>
      <c r="F20" s="92">
        <f t="shared" si="3"/>
        <v>0.1</v>
      </c>
      <c r="G20" s="9" t="str">
        <f t="shared" si="4"/>
        <v>2</v>
      </c>
    </row>
    <row r="21" ht="14.25" customHeight="1">
      <c r="A21" s="9" t="s">
        <v>163</v>
      </c>
      <c r="B21" s="9" t="str">
        <f t="shared" si="1"/>
        <v>Region2</v>
      </c>
      <c r="C21" s="47">
        <f t="array" ref="C21">INDEX(Region_BU!$G$3:$G$7, G21)/10</f>
        <v>24000</v>
      </c>
      <c r="D21" s="47">
        <v>23520.0</v>
      </c>
      <c r="E21" s="47">
        <f t="shared" si="2"/>
        <v>-480</v>
      </c>
      <c r="F21" s="92">
        <f t="shared" si="3"/>
        <v>-0.02</v>
      </c>
      <c r="G21" s="9" t="str">
        <f t="shared" si="4"/>
        <v>2</v>
      </c>
    </row>
    <row r="22" ht="14.25" customHeight="1">
      <c r="A22" s="9" t="s">
        <v>164</v>
      </c>
      <c r="B22" s="9" t="str">
        <f t="shared" si="1"/>
        <v>Region3</v>
      </c>
      <c r="C22" s="47">
        <f t="array" ref="C22">INDEX(Region_BU!$G$3:$G$7, G22)/10</f>
        <v>21600</v>
      </c>
      <c r="D22" s="47">
        <v>22248.0</v>
      </c>
      <c r="E22" s="47">
        <f t="shared" si="2"/>
        <v>648</v>
      </c>
      <c r="F22" s="92">
        <f t="shared" si="3"/>
        <v>0.03</v>
      </c>
      <c r="G22" s="9" t="str">
        <f t="shared" si="4"/>
        <v>3</v>
      </c>
    </row>
    <row r="23" ht="14.25" customHeight="1">
      <c r="A23" s="9" t="s">
        <v>165</v>
      </c>
      <c r="B23" s="9" t="str">
        <f t="shared" si="1"/>
        <v>Region3</v>
      </c>
      <c r="C23" s="47">
        <f t="array" ref="C23">INDEX(Region_BU!$G$3:$G$7, G23)/10</f>
        <v>21600</v>
      </c>
      <c r="D23" s="47">
        <v>22032.0</v>
      </c>
      <c r="E23" s="47">
        <f t="shared" si="2"/>
        <v>432</v>
      </c>
      <c r="F23" s="92">
        <f t="shared" si="3"/>
        <v>0.02</v>
      </c>
      <c r="G23" s="9" t="str">
        <f t="shared" si="4"/>
        <v>3</v>
      </c>
    </row>
    <row r="24" ht="14.25" customHeight="1">
      <c r="A24" s="9" t="s">
        <v>166</v>
      </c>
      <c r="B24" s="9" t="str">
        <f t="shared" si="1"/>
        <v>Region3</v>
      </c>
      <c r="C24" s="47">
        <f t="array" ref="C24">INDEX(Region_BU!$G$3:$G$7, G24)/10</f>
        <v>21600</v>
      </c>
      <c r="D24" s="47">
        <v>21600.0</v>
      </c>
      <c r="E24" s="47">
        <f t="shared" si="2"/>
        <v>0</v>
      </c>
      <c r="F24" s="92">
        <f t="shared" si="3"/>
        <v>0</v>
      </c>
      <c r="G24" s="9" t="str">
        <f t="shared" si="4"/>
        <v>3</v>
      </c>
    </row>
    <row r="25" ht="14.25" customHeight="1">
      <c r="A25" s="9" t="s">
        <v>167</v>
      </c>
      <c r="B25" s="9" t="str">
        <f t="shared" si="1"/>
        <v>Region3</v>
      </c>
      <c r="C25" s="47">
        <f t="array" ref="C25">INDEX(Region_BU!$G$3:$G$7, G25)/10</f>
        <v>21600</v>
      </c>
      <c r="D25" s="47">
        <v>21168.0</v>
      </c>
      <c r="E25" s="47">
        <f t="shared" si="2"/>
        <v>-432</v>
      </c>
      <c r="F25" s="92">
        <f t="shared" si="3"/>
        <v>-0.02</v>
      </c>
      <c r="G25" s="9" t="str">
        <f t="shared" si="4"/>
        <v>3</v>
      </c>
    </row>
    <row r="26" ht="14.25" customHeight="1">
      <c r="A26" s="9" t="s">
        <v>168</v>
      </c>
      <c r="B26" s="9" t="str">
        <f t="shared" si="1"/>
        <v>Region3</v>
      </c>
      <c r="C26" s="47">
        <f t="array" ref="C26">INDEX(Region_BU!$G$3:$G$7, G26)/10</f>
        <v>21600</v>
      </c>
      <c r="D26" s="47">
        <v>23112.0</v>
      </c>
      <c r="E26" s="47">
        <f t="shared" si="2"/>
        <v>1512</v>
      </c>
      <c r="F26" s="92">
        <f t="shared" si="3"/>
        <v>0.07</v>
      </c>
      <c r="G26" s="9" t="str">
        <f t="shared" si="4"/>
        <v>3</v>
      </c>
    </row>
    <row r="27" ht="14.25" customHeight="1">
      <c r="A27" s="9" t="s">
        <v>169</v>
      </c>
      <c r="B27" s="9" t="str">
        <f t="shared" si="1"/>
        <v>Region3</v>
      </c>
      <c r="C27" s="47">
        <f t="array" ref="C27">INDEX(Region_BU!$G$3:$G$7, G27)/10</f>
        <v>21600</v>
      </c>
      <c r="D27" s="47">
        <v>19440.0</v>
      </c>
      <c r="E27" s="47">
        <f t="shared" si="2"/>
        <v>-2160</v>
      </c>
      <c r="F27" s="92">
        <f t="shared" si="3"/>
        <v>-0.1</v>
      </c>
      <c r="G27" s="9" t="str">
        <f t="shared" si="4"/>
        <v>3</v>
      </c>
    </row>
    <row r="28" ht="14.25" customHeight="1">
      <c r="A28" s="9" t="s">
        <v>170</v>
      </c>
      <c r="B28" s="9" t="str">
        <f t="shared" si="1"/>
        <v>Region3</v>
      </c>
      <c r="C28" s="47">
        <f t="array" ref="C28">INDEX(Region_BU!$G$3:$G$7, G28)/10</f>
        <v>21600</v>
      </c>
      <c r="D28" s="47">
        <v>20520.0</v>
      </c>
      <c r="E28" s="47">
        <f t="shared" si="2"/>
        <v>-1080</v>
      </c>
      <c r="F28" s="92">
        <f t="shared" si="3"/>
        <v>-0.05</v>
      </c>
      <c r="G28" s="9" t="str">
        <f t="shared" si="4"/>
        <v>3</v>
      </c>
    </row>
    <row r="29" ht="14.25" customHeight="1">
      <c r="A29" s="9" t="s">
        <v>171</v>
      </c>
      <c r="B29" s="9" t="str">
        <f t="shared" si="1"/>
        <v>Region3</v>
      </c>
      <c r="C29" s="47">
        <f t="array" ref="C29">INDEX(Region_BU!$G$3:$G$7, G29)/10</f>
        <v>21600</v>
      </c>
      <c r="D29" s="47">
        <v>19872.0</v>
      </c>
      <c r="E29" s="47">
        <f t="shared" si="2"/>
        <v>-1728</v>
      </c>
      <c r="F29" s="92">
        <f t="shared" si="3"/>
        <v>-0.08</v>
      </c>
      <c r="G29" s="9" t="str">
        <f t="shared" si="4"/>
        <v>3</v>
      </c>
    </row>
    <row r="30" ht="14.25" customHeight="1">
      <c r="A30" s="9" t="s">
        <v>172</v>
      </c>
      <c r="B30" s="9" t="str">
        <f t="shared" si="1"/>
        <v>Region3</v>
      </c>
      <c r="C30" s="47">
        <f t="array" ref="C30">INDEX(Region_BU!$G$3:$G$7, G30)/10</f>
        <v>21600</v>
      </c>
      <c r="D30" s="47">
        <v>20736.0</v>
      </c>
      <c r="E30" s="47">
        <f t="shared" si="2"/>
        <v>-864</v>
      </c>
      <c r="F30" s="92">
        <f t="shared" si="3"/>
        <v>-0.04</v>
      </c>
      <c r="G30" s="9" t="str">
        <f t="shared" si="4"/>
        <v>3</v>
      </c>
    </row>
    <row r="31" ht="14.25" customHeight="1">
      <c r="A31" s="9" t="s">
        <v>173</v>
      </c>
      <c r="B31" s="9" t="str">
        <f t="shared" si="1"/>
        <v>Region3</v>
      </c>
      <c r="C31" s="47">
        <f t="array" ref="C31">INDEX(Region_BU!$G$3:$G$7, G31)/10</f>
        <v>21600</v>
      </c>
      <c r="D31" s="47">
        <v>20088.0</v>
      </c>
      <c r="E31" s="47">
        <f t="shared" si="2"/>
        <v>-1512</v>
      </c>
      <c r="F31" s="92">
        <f t="shared" si="3"/>
        <v>-0.07</v>
      </c>
      <c r="G31" s="9" t="str">
        <f t="shared" si="4"/>
        <v>3</v>
      </c>
    </row>
    <row r="32" ht="14.25" customHeight="1">
      <c r="A32" s="9" t="s">
        <v>174</v>
      </c>
      <c r="B32" s="9" t="str">
        <f t="shared" si="1"/>
        <v>Region4</v>
      </c>
      <c r="C32" s="47">
        <f t="array" ref="C32">INDEX(Region_BU!$G$3:$G$7, G32)/10</f>
        <v>26400</v>
      </c>
      <c r="D32" s="47">
        <v>24816.0</v>
      </c>
      <c r="E32" s="47">
        <f t="shared" si="2"/>
        <v>-1584</v>
      </c>
      <c r="F32" s="92">
        <f t="shared" si="3"/>
        <v>-0.06</v>
      </c>
      <c r="G32" s="9" t="str">
        <f t="shared" si="4"/>
        <v>4</v>
      </c>
    </row>
    <row r="33" ht="14.25" customHeight="1">
      <c r="A33" s="9" t="s">
        <v>175</v>
      </c>
      <c r="B33" s="9" t="str">
        <f t="shared" si="1"/>
        <v>Region4</v>
      </c>
      <c r="C33" s="47">
        <f t="array" ref="C33">INDEX(Region_BU!$G$3:$G$7, G33)/10</f>
        <v>26400</v>
      </c>
      <c r="D33" s="47">
        <v>28248.0</v>
      </c>
      <c r="E33" s="47">
        <f t="shared" si="2"/>
        <v>1848</v>
      </c>
      <c r="F33" s="92">
        <f t="shared" si="3"/>
        <v>0.07</v>
      </c>
      <c r="G33" s="9" t="str">
        <f t="shared" si="4"/>
        <v>4</v>
      </c>
    </row>
    <row r="34" ht="14.25" customHeight="1">
      <c r="A34" s="9" t="s">
        <v>176</v>
      </c>
      <c r="B34" s="9" t="str">
        <f t="shared" si="1"/>
        <v>Region4</v>
      </c>
      <c r="C34" s="47">
        <f t="array" ref="C34">INDEX(Region_BU!$G$3:$G$7, G34)/10</f>
        <v>26400</v>
      </c>
      <c r="D34" s="47">
        <v>25608.0</v>
      </c>
      <c r="E34" s="47">
        <f t="shared" si="2"/>
        <v>-792</v>
      </c>
      <c r="F34" s="92">
        <f t="shared" si="3"/>
        <v>-0.03</v>
      </c>
      <c r="G34" s="9" t="str">
        <f t="shared" si="4"/>
        <v>4</v>
      </c>
    </row>
    <row r="35" ht="14.25" customHeight="1">
      <c r="A35" s="9" t="s">
        <v>177</v>
      </c>
      <c r="B35" s="9" t="str">
        <f t="shared" si="1"/>
        <v>Region4</v>
      </c>
      <c r="C35" s="47">
        <f t="array" ref="C35">INDEX(Region_BU!$G$3:$G$7, G35)/10</f>
        <v>26400</v>
      </c>
      <c r="D35" s="47">
        <v>26664.0</v>
      </c>
      <c r="E35" s="47">
        <f t="shared" si="2"/>
        <v>264</v>
      </c>
      <c r="F35" s="92">
        <f t="shared" si="3"/>
        <v>0.01</v>
      </c>
      <c r="G35" s="9" t="str">
        <f t="shared" si="4"/>
        <v>4</v>
      </c>
    </row>
    <row r="36" ht="14.25" customHeight="1">
      <c r="A36" s="9" t="s">
        <v>178</v>
      </c>
      <c r="B36" s="9" t="str">
        <f t="shared" si="1"/>
        <v>Region4</v>
      </c>
      <c r="C36" s="47">
        <f t="array" ref="C36">INDEX(Region_BU!$G$3:$G$7, G36)/10</f>
        <v>26400</v>
      </c>
      <c r="D36" s="47">
        <v>26136.0</v>
      </c>
      <c r="E36" s="47">
        <f t="shared" si="2"/>
        <v>-264</v>
      </c>
      <c r="F36" s="92">
        <f t="shared" si="3"/>
        <v>-0.01</v>
      </c>
      <c r="G36" s="9" t="str">
        <f t="shared" si="4"/>
        <v>4</v>
      </c>
    </row>
    <row r="37" ht="14.25" customHeight="1">
      <c r="A37" s="9" t="s">
        <v>179</v>
      </c>
      <c r="B37" s="9" t="str">
        <f t="shared" si="1"/>
        <v>Region4</v>
      </c>
      <c r="C37" s="47">
        <f t="array" ref="C37">INDEX(Region_BU!$G$3:$G$7, G37)/10</f>
        <v>26400</v>
      </c>
      <c r="D37" s="47">
        <v>28776.000000000004</v>
      </c>
      <c r="E37" s="47">
        <f t="shared" si="2"/>
        <v>2376</v>
      </c>
      <c r="F37" s="92">
        <f t="shared" si="3"/>
        <v>0.09</v>
      </c>
      <c r="G37" s="9" t="str">
        <f t="shared" si="4"/>
        <v>4</v>
      </c>
    </row>
    <row r="38" ht="14.25" customHeight="1">
      <c r="A38" s="9" t="s">
        <v>180</v>
      </c>
      <c r="B38" s="9" t="str">
        <f t="shared" si="1"/>
        <v>Region4</v>
      </c>
      <c r="C38" s="47">
        <f t="array" ref="C38">INDEX(Region_BU!$G$3:$G$7, G38)/10</f>
        <v>26400</v>
      </c>
      <c r="D38" s="47">
        <v>23760.0</v>
      </c>
      <c r="E38" s="47">
        <f t="shared" si="2"/>
        <v>-2640</v>
      </c>
      <c r="F38" s="92">
        <f t="shared" si="3"/>
        <v>-0.1</v>
      </c>
      <c r="G38" s="9" t="str">
        <f t="shared" si="4"/>
        <v>4</v>
      </c>
    </row>
    <row r="39" ht="14.25" customHeight="1">
      <c r="A39" s="9" t="s">
        <v>181</v>
      </c>
      <c r="B39" s="9" t="str">
        <f t="shared" si="1"/>
        <v>Region4</v>
      </c>
      <c r="C39" s="47">
        <f t="array" ref="C39">INDEX(Region_BU!$G$3:$G$7, G39)/10</f>
        <v>26400</v>
      </c>
      <c r="D39" s="47">
        <v>28512.000000000004</v>
      </c>
      <c r="E39" s="47">
        <f t="shared" si="2"/>
        <v>2112</v>
      </c>
      <c r="F39" s="92">
        <f t="shared" si="3"/>
        <v>0.08</v>
      </c>
      <c r="G39" s="9" t="str">
        <f t="shared" si="4"/>
        <v>4</v>
      </c>
    </row>
    <row r="40" ht="14.25" customHeight="1">
      <c r="A40" s="9" t="s">
        <v>182</v>
      </c>
      <c r="B40" s="9" t="str">
        <f t="shared" si="1"/>
        <v>Region4</v>
      </c>
      <c r="C40" s="47">
        <f t="array" ref="C40">INDEX(Region_BU!$G$3:$G$7, G40)/10</f>
        <v>26400</v>
      </c>
      <c r="D40" s="47">
        <v>27720.0</v>
      </c>
      <c r="E40" s="47">
        <f t="shared" si="2"/>
        <v>1320</v>
      </c>
      <c r="F40" s="92">
        <f t="shared" si="3"/>
        <v>0.05</v>
      </c>
      <c r="G40" s="9" t="str">
        <f t="shared" si="4"/>
        <v>4</v>
      </c>
    </row>
    <row r="41" ht="14.25" customHeight="1">
      <c r="A41" s="9" t="s">
        <v>183</v>
      </c>
      <c r="B41" s="9" t="str">
        <f t="shared" si="1"/>
        <v>Region4</v>
      </c>
      <c r="C41" s="47">
        <f t="array" ref="C41">INDEX(Region_BU!$G$3:$G$7, G41)/10</f>
        <v>26400</v>
      </c>
      <c r="D41" s="47">
        <v>28512.000000000004</v>
      </c>
      <c r="E41" s="47">
        <f t="shared" si="2"/>
        <v>2112</v>
      </c>
      <c r="F41" s="92">
        <f t="shared" si="3"/>
        <v>0.08</v>
      </c>
      <c r="G41" s="9" t="str">
        <f t="shared" si="4"/>
        <v>4</v>
      </c>
    </row>
    <row r="42" ht="14.25" customHeight="1">
      <c r="A42" s="9" t="s">
        <v>184</v>
      </c>
      <c r="B42" s="9" t="str">
        <f t="shared" si="1"/>
        <v>Region5</v>
      </c>
      <c r="C42" s="47">
        <f t="array" ref="C42">INDEX(Region_BU!$G$3:$G$7, G42)/10</f>
        <v>18000</v>
      </c>
      <c r="D42" s="47">
        <v>16380.0</v>
      </c>
      <c r="E42" s="47">
        <f t="shared" si="2"/>
        <v>-1620</v>
      </c>
      <c r="F42" s="92">
        <f t="shared" si="3"/>
        <v>-0.09</v>
      </c>
      <c r="G42" s="9" t="str">
        <f t="shared" si="4"/>
        <v>5</v>
      </c>
    </row>
    <row r="43" ht="14.25" customHeight="1">
      <c r="A43" s="9" t="s">
        <v>185</v>
      </c>
      <c r="B43" s="9" t="str">
        <f t="shared" si="1"/>
        <v>Region5</v>
      </c>
      <c r="C43" s="47">
        <f t="array" ref="C43">INDEX(Region_BU!$G$3:$G$7, G43)/10</f>
        <v>18000</v>
      </c>
      <c r="D43" s="47">
        <v>19260.0</v>
      </c>
      <c r="E43" s="47">
        <f t="shared" si="2"/>
        <v>1260</v>
      </c>
      <c r="F43" s="92">
        <f t="shared" si="3"/>
        <v>0.07</v>
      </c>
      <c r="G43" s="9" t="str">
        <f t="shared" si="4"/>
        <v>5</v>
      </c>
    </row>
    <row r="44" ht="14.25" customHeight="1">
      <c r="A44" s="9" t="s">
        <v>186</v>
      </c>
      <c r="B44" s="9" t="str">
        <f t="shared" si="1"/>
        <v>Region5</v>
      </c>
      <c r="C44" s="47">
        <f t="array" ref="C44">INDEX(Region_BU!$G$3:$G$7, G44)/10</f>
        <v>18000</v>
      </c>
      <c r="D44" s="47">
        <v>18360.0</v>
      </c>
      <c r="E44" s="47">
        <f t="shared" si="2"/>
        <v>360</v>
      </c>
      <c r="F44" s="92">
        <f t="shared" si="3"/>
        <v>0.02</v>
      </c>
      <c r="G44" s="9" t="str">
        <f t="shared" si="4"/>
        <v>5</v>
      </c>
    </row>
    <row r="45" ht="14.25" customHeight="1">
      <c r="A45" s="9" t="s">
        <v>187</v>
      </c>
      <c r="B45" s="9" t="str">
        <f t="shared" si="1"/>
        <v>Region5</v>
      </c>
      <c r="C45" s="47">
        <f t="array" ref="C45">INDEX(Region_BU!$G$3:$G$7, G45)/10</f>
        <v>18000</v>
      </c>
      <c r="D45" s="47">
        <v>18540.0</v>
      </c>
      <c r="E45" s="47">
        <f t="shared" si="2"/>
        <v>540</v>
      </c>
      <c r="F45" s="92">
        <f t="shared" si="3"/>
        <v>0.03</v>
      </c>
      <c r="G45" s="9" t="str">
        <f t="shared" si="4"/>
        <v>5</v>
      </c>
    </row>
    <row r="46" ht="14.25" customHeight="1">
      <c r="A46" s="9" t="s">
        <v>188</v>
      </c>
      <c r="B46" s="9" t="str">
        <f t="shared" si="1"/>
        <v>Region5</v>
      </c>
      <c r="C46" s="47">
        <f t="array" ref="C46">INDEX(Region_BU!$G$3:$G$7, G46)/10</f>
        <v>18000</v>
      </c>
      <c r="D46" s="47">
        <v>16560.0</v>
      </c>
      <c r="E46" s="47">
        <f t="shared" si="2"/>
        <v>-1440</v>
      </c>
      <c r="F46" s="92">
        <f t="shared" si="3"/>
        <v>-0.08</v>
      </c>
      <c r="G46" s="9" t="str">
        <f t="shared" si="4"/>
        <v>5</v>
      </c>
    </row>
    <row r="47" ht="14.25" customHeight="1">
      <c r="A47" s="9" t="s">
        <v>189</v>
      </c>
      <c r="B47" s="9" t="str">
        <f t="shared" si="1"/>
        <v>Region5</v>
      </c>
      <c r="C47" s="47">
        <f t="array" ref="C47">INDEX(Region_BU!$G$3:$G$7, G47)/10</f>
        <v>18000</v>
      </c>
      <c r="D47" s="47">
        <v>19800.0</v>
      </c>
      <c r="E47" s="47">
        <f t="shared" si="2"/>
        <v>1800</v>
      </c>
      <c r="F47" s="92">
        <f t="shared" si="3"/>
        <v>0.1</v>
      </c>
      <c r="G47" s="9" t="str">
        <f t="shared" si="4"/>
        <v>5</v>
      </c>
    </row>
    <row r="48" ht="14.25" customHeight="1">
      <c r="A48" s="9" t="s">
        <v>190</v>
      </c>
      <c r="B48" s="9" t="str">
        <f t="shared" si="1"/>
        <v>Region5</v>
      </c>
      <c r="C48" s="47">
        <f t="array" ref="C48">INDEX(Region_BU!$G$3:$G$7, G48)/10</f>
        <v>18000</v>
      </c>
      <c r="D48" s="47">
        <v>17100.0</v>
      </c>
      <c r="E48" s="47">
        <f t="shared" si="2"/>
        <v>-900</v>
      </c>
      <c r="F48" s="92">
        <f t="shared" si="3"/>
        <v>-0.05</v>
      </c>
      <c r="G48" s="9" t="str">
        <f t="shared" si="4"/>
        <v>5</v>
      </c>
    </row>
    <row r="49" ht="14.25" customHeight="1">
      <c r="A49" s="9" t="s">
        <v>191</v>
      </c>
      <c r="B49" s="9" t="str">
        <f t="shared" si="1"/>
        <v>Region5</v>
      </c>
      <c r="C49" s="47">
        <f t="array" ref="C49">INDEX(Region_BU!$G$3:$G$7, G49)/10</f>
        <v>18000</v>
      </c>
      <c r="D49" s="47">
        <v>16200.0</v>
      </c>
      <c r="E49" s="47">
        <f t="shared" si="2"/>
        <v>-1800</v>
      </c>
      <c r="F49" s="92">
        <f t="shared" si="3"/>
        <v>-0.1</v>
      </c>
      <c r="G49" s="9" t="str">
        <f t="shared" si="4"/>
        <v>5</v>
      </c>
    </row>
    <row r="50" ht="14.25" customHeight="1">
      <c r="A50" s="9" t="s">
        <v>192</v>
      </c>
      <c r="B50" s="9" t="str">
        <f t="shared" si="1"/>
        <v>Region5</v>
      </c>
      <c r="C50" s="47">
        <f t="array" ref="C50">INDEX(Region_BU!$G$3:$G$7, G50)/10</f>
        <v>18000</v>
      </c>
      <c r="D50" s="47">
        <v>19260.0</v>
      </c>
      <c r="E50" s="47">
        <f t="shared" si="2"/>
        <v>1260</v>
      </c>
      <c r="F50" s="92">
        <f t="shared" si="3"/>
        <v>0.07</v>
      </c>
      <c r="G50" s="9" t="str">
        <f t="shared" si="4"/>
        <v>5</v>
      </c>
    </row>
    <row r="51" ht="14.25" customHeight="1">
      <c r="A51" s="9" t="s">
        <v>193</v>
      </c>
      <c r="B51" s="9" t="str">
        <f t="shared" si="1"/>
        <v>Region5</v>
      </c>
      <c r="C51" s="47">
        <f t="array" ref="C51">INDEX(Region_BU!$G$3:$G$7, G51)/10</f>
        <v>18000</v>
      </c>
      <c r="D51" s="47">
        <v>18360.0</v>
      </c>
      <c r="E51" s="47">
        <f t="shared" si="2"/>
        <v>360</v>
      </c>
      <c r="F51" s="92">
        <f t="shared" si="3"/>
        <v>0.02</v>
      </c>
      <c r="G51" s="9" t="str">
        <f t="shared" si="4"/>
        <v>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1:F51">
    <cfRule type="cellIs" dxfId="1" priority="1" operator="lessThan">
      <formula>0</formula>
    </cfRule>
  </conditionalFormatting>
  <conditionalFormatting sqref="F2:F51">
    <cfRule type="cellIs" dxfId="0" priority="2" operator="greaterThan">
      <formula>0.09</formula>
    </cfRule>
  </conditionalFormatting>
  <conditionalFormatting sqref="F2:F51">
    <cfRule type="cellIs" dxfId="0" priority="3" operator="greaterThan">
      <formula>0.33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.63"/>
    <col customWidth="1" min="3" max="3" width="13.63"/>
    <col customWidth="1" min="4" max="4" width="13.88"/>
    <col customWidth="1" min="5" max="5" width="12.5"/>
    <col customWidth="1" min="6" max="6" width="10.13"/>
    <col customWidth="1" min="7" max="26" width="8.63"/>
  </cols>
  <sheetData>
    <row r="1" ht="14.25" customHeight="1">
      <c r="A1" s="91" t="s">
        <v>25</v>
      </c>
      <c r="B1" s="91" t="s">
        <v>31</v>
      </c>
      <c r="C1" s="91" t="s">
        <v>140</v>
      </c>
      <c r="D1" s="91" t="s">
        <v>123</v>
      </c>
      <c r="E1" s="91" t="s">
        <v>124</v>
      </c>
      <c r="F1" s="91" t="s">
        <v>125</v>
      </c>
      <c r="G1" s="91" t="s">
        <v>141</v>
      </c>
    </row>
    <row r="2" ht="14.25" customHeight="1">
      <c r="A2" s="9" t="s">
        <v>194</v>
      </c>
      <c r="B2" s="9" t="str">
        <f t="shared" ref="B2:B11" si="1">"Region"&amp;ROUNDUP(ROW(A1)/2,0)</f>
        <v>Region1</v>
      </c>
      <c r="C2" s="47">
        <f t="array" ref="C2">INDEX(Region_BU!$G$3:$G$7, VALUE(G2))/2</f>
        <v>150000</v>
      </c>
      <c r="D2" s="47">
        <f>SUMIFS(Sales_Performance!D:D, Sales_Performance!B:B, B2)/2</f>
        <v>148350</v>
      </c>
      <c r="E2" s="47">
        <f t="shared" ref="E2:E11" si="2">D2-C2</f>
        <v>-1650</v>
      </c>
      <c r="F2" s="92">
        <f t="shared" ref="F2:F11" si="3">E2/C2</f>
        <v>-0.011</v>
      </c>
      <c r="G2" s="9" t="str">
        <f t="shared" ref="G2:G11" si="4">RIGHT(B2,1)</f>
        <v>1</v>
      </c>
      <c r="I2" s="9" t="s">
        <v>143</v>
      </c>
    </row>
    <row r="3" ht="14.25" customHeight="1">
      <c r="A3" s="9" t="s">
        <v>195</v>
      </c>
      <c r="B3" s="9" t="str">
        <f t="shared" si="1"/>
        <v>Region1</v>
      </c>
      <c r="C3" s="47">
        <f t="array" ref="C3">INDEX(Region_BU!$G$3:$G$7, VALUE(G3))/2</f>
        <v>150000</v>
      </c>
      <c r="D3" s="47">
        <f>SUMIFS(Sales_Performance!D:D, Sales_Performance!B:B, B3)/2</f>
        <v>148350</v>
      </c>
      <c r="E3" s="47">
        <f t="shared" si="2"/>
        <v>-1650</v>
      </c>
      <c r="F3" s="92">
        <f t="shared" si="3"/>
        <v>-0.011</v>
      </c>
      <c r="G3" s="9" t="str">
        <f t="shared" si="4"/>
        <v>1</v>
      </c>
      <c r="I3" s="9" t="s">
        <v>145</v>
      </c>
    </row>
    <row r="4" ht="14.25" customHeight="1">
      <c r="A4" s="9" t="s">
        <v>196</v>
      </c>
      <c r="B4" s="9" t="str">
        <f t="shared" si="1"/>
        <v>Region2</v>
      </c>
      <c r="C4" s="47">
        <f t="array" ref="C4">INDEX(Region_BU!$G$3:$G$7, VALUE(G4))/2</f>
        <v>120000</v>
      </c>
      <c r="D4" s="47">
        <f>SUMIFS(Sales_Performance!D:D, Sales_Performance!B:B, B4)/2</f>
        <v>124080</v>
      </c>
      <c r="E4" s="47">
        <f t="shared" si="2"/>
        <v>4080</v>
      </c>
      <c r="F4" s="92">
        <f t="shared" si="3"/>
        <v>0.034</v>
      </c>
      <c r="G4" s="9" t="str">
        <f t="shared" si="4"/>
        <v>2</v>
      </c>
    </row>
    <row r="5" ht="14.25" customHeight="1">
      <c r="A5" s="9" t="s">
        <v>197</v>
      </c>
      <c r="B5" s="9" t="str">
        <f t="shared" si="1"/>
        <v>Region2</v>
      </c>
      <c r="C5" s="47">
        <f t="array" ref="C5">INDEX(Region_BU!$G$3:$G$7, VALUE(G5))/2</f>
        <v>120000</v>
      </c>
      <c r="D5" s="47">
        <f>SUMIFS(Sales_Performance!D:D, Sales_Performance!B:B, B5)/2</f>
        <v>124080</v>
      </c>
      <c r="E5" s="47">
        <f t="shared" si="2"/>
        <v>4080</v>
      </c>
      <c r="F5" s="92">
        <f t="shared" si="3"/>
        <v>0.034</v>
      </c>
      <c r="G5" s="9" t="str">
        <f t="shared" si="4"/>
        <v>2</v>
      </c>
    </row>
    <row r="6" ht="14.25" customHeight="1">
      <c r="A6" s="9" t="s">
        <v>198</v>
      </c>
      <c r="B6" s="9" t="str">
        <f t="shared" si="1"/>
        <v>Region3</v>
      </c>
      <c r="C6" s="47">
        <f t="array" ref="C6">INDEX(Region_BU!$G$3:$G$7, VALUE(G6))/2</f>
        <v>108000</v>
      </c>
      <c r="D6" s="47">
        <f>SUMIFS(Sales_Performance!D:D, Sales_Performance!B:B, B6)/2</f>
        <v>105408</v>
      </c>
      <c r="E6" s="47">
        <f t="shared" si="2"/>
        <v>-2592</v>
      </c>
      <c r="F6" s="92">
        <f t="shared" si="3"/>
        <v>-0.024</v>
      </c>
      <c r="G6" s="9" t="str">
        <f t="shared" si="4"/>
        <v>3</v>
      </c>
    </row>
    <row r="7" ht="14.25" customHeight="1">
      <c r="A7" s="9" t="s">
        <v>199</v>
      </c>
      <c r="B7" s="9" t="str">
        <f t="shared" si="1"/>
        <v>Region3</v>
      </c>
      <c r="C7" s="47">
        <f t="array" ref="C7">INDEX(Region_BU!$G$3:$G$7, VALUE(G7))/2</f>
        <v>108000</v>
      </c>
      <c r="D7" s="47">
        <f>SUMIFS(Sales_Performance!D:D, Sales_Performance!B:B, B7)/2</f>
        <v>105408</v>
      </c>
      <c r="E7" s="47">
        <f t="shared" si="2"/>
        <v>-2592</v>
      </c>
      <c r="F7" s="92">
        <f t="shared" si="3"/>
        <v>-0.024</v>
      </c>
      <c r="G7" s="9" t="str">
        <f t="shared" si="4"/>
        <v>3</v>
      </c>
    </row>
    <row r="8" ht="14.25" customHeight="1">
      <c r="A8" s="9" t="s">
        <v>200</v>
      </c>
      <c r="B8" s="9" t="str">
        <f t="shared" si="1"/>
        <v>Region4</v>
      </c>
      <c r="C8" s="47">
        <f t="array" ref="C8">INDEX(Region_BU!$G$3:$G$7, VALUE(G8))/2</f>
        <v>132000</v>
      </c>
      <c r="D8" s="47">
        <f>SUMIFS(Sales_Performance!D:D, Sales_Performance!B:B, B8)/2</f>
        <v>134376</v>
      </c>
      <c r="E8" s="47">
        <f t="shared" si="2"/>
        <v>2376</v>
      </c>
      <c r="F8" s="92">
        <f t="shared" si="3"/>
        <v>0.018</v>
      </c>
      <c r="G8" s="9" t="str">
        <f t="shared" si="4"/>
        <v>4</v>
      </c>
    </row>
    <row r="9" ht="14.25" customHeight="1">
      <c r="A9" s="9" t="s">
        <v>201</v>
      </c>
      <c r="B9" s="9" t="str">
        <f t="shared" si="1"/>
        <v>Region4</v>
      </c>
      <c r="C9" s="47">
        <f t="array" ref="C9">INDEX(Region_BU!$G$3:$G$7, VALUE(G9))/2</f>
        <v>132000</v>
      </c>
      <c r="D9" s="47">
        <f>SUMIFS(Sales_Performance!D:D, Sales_Performance!B:B, B9)/2</f>
        <v>134376</v>
      </c>
      <c r="E9" s="47">
        <f t="shared" si="2"/>
        <v>2376</v>
      </c>
      <c r="F9" s="92">
        <f t="shared" si="3"/>
        <v>0.018</v>
      </c>
      <c r="G9" s="9" t="str">
        <f t="shared" si="4"/>
        <v>4</v>
      </c>
    </row>
    <row r="10" ht="14.25" customHeight="1">
      <c r="A10" s="9" t="s">
        <v>202</v>
      </c>
      <c r="B10" s="9" t="str">
        <f t="shared" si="1"/>
        <v>Region5</v>
      </c>
      <c r="C10" s="47">
        <f t="array" ref="C10">INDEX(Region_BU!$G$3:$G$7, VALUE(G10))/2</f>
        <v>90000</v>
      </c>
      <c r="D10" s="47">
        <f>SUMIFS(Sales_Performance!D:D, Sales_Performance!B:B, B10)/2</f>
        <v>89910</v>
      </c>
      <c r="E10" s="47">
        <f t="shared" si="2"/>
        <v>-90</v>
      </c>
      <c r="F10" s="92">
        <f t="shared" si="3"/>
        <v>-0.001</v>
      </c>
      <c r="G10" s="9" t="str">
        <f t="shared" si="4"/>
        <v>5</v>
      </c>
    </row>
    <row r="11" ht="14.25" customHeight="1">
      <c r="A11" s="9" t="s">
        <v>203</v>
      </c>
      <c r="B11" s="9" t="str">
        <f t="shared" si="1"/>
        <v>Region5</v>
      </c>
      <c r="C11" s="47">
        <f t="array" ref="C11">INDEX(Region_BU!$G$3:$G$7, VALUE(G11))/2</f>
        <v>90000</v>
      </c>
      <c r="D11" s="47">
        <f>SUMIFS(Sales_Performance!D:D, Sales_Performance!B:B, B11)/2</f>
        <v>89910</v>
      </c>
      <c r="E11" s="47">
        <f t="shared" si="2"/>
        <v>-90</v>
      </c>
      <c r="F11" s="92">
        <f t="shared" si="3"/>
        <v>-0.001</v>
      </c>
      <c r="G11" s="9" t="str">
        <f t="shared" si="4"/>
        <v>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2:F11">
    <cfRule type="cellIs" dxfId="1" priority="1" operator="lessThan">
      <formula>0</formula>
    </cfRule>
  </conditionalFormatting>
  <conditionalFormatting sqref="F2:F11">
    <cfRule type="cellIs" dxfId="0" priority="2" operator="greaterThan">
      <formula>0.01</formula>
    </cfRule>
  </conditionalFormatting>
  <conditionalFormatting sqref="F2:F11">
    <cfRule type="cellIs" dxfId="0" priority="3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3.5"/>
    <col customWidth="1" min="3" max="3" width="10.88"/>
    <col customWidth="1" min="4" max="8" width="8.63"/>
    <col customWidth="1" min="9" max="9" width="11.25"/>
    <col customWidth="1" min="10" max="26" width="8.63"/>
  </cols>
  <sheetData>
    <row r="1" ht="14.25" customHeight="1">
      <c r="A1" s="91" t="s">
        <v>204</v>
      </c>
      <c r="B1" s="91" t="s">
        <v>205</v>
      </c>
    </row>
    <row r="2" ht="14.25" customHeight="1">
      <c r="A2" s="9" t="s">
        <v>206</v>
      </c>
      <c r="H2" s="9" t="s">
        <v>207</v>
      </c>
    </row>
    <row r="3" ht="14.25" customHeight="1">
      <c r="A3" s="9" t="s">
        <v>208</v>
      </c>
      <c r="B3" s="47">
        <f>CashFlow!M12</f>
        <v>4490710.134</v>
      </c>
      <c r="H3" s="9" t="s">
        <v>209</v>
      </c>
      <c r="I3" s="47">
        <f>36000/10%</f>
        <v>360000</v>
      </c>
    </row>
    <row r="4" ht="14.25" customHeight="1">
      <c r="A4" s="9" t="s">
        <v>210</v>
      </c>
      <c r="B4" s="47">
        <f>SUM(Revenue!B3:M3)*10%</f>
        <v>1910055.182</v>
      </c>
    </row>
    <row r="5" ht="14.25" customHeight="1">
      <c r="A5" s="9" t="s">
        <v>211</v>
      </c>
      <c r="B5" s="47">
        <f>B4+B3</f>
        <v>6400765.317</v>
      </c>
    </row>
    <row r="6" ht="14.25" customHeight="1">
      <c r="A6" s="9" t="s">
        <v>212</v>
      </c>
    </row>
    <row r="7" ht="14.25" customHeight="1">
      <c r="A7" s="9" t="s">
        <v>213</v>
      </c>
      <c r="B7" s="47">
        <f>B5 - B8</f>
        <v>2566268.675</v>
      </c>
    </row>
    <row r="8" ht="14.25" customHeight="1">
      <c r="A8" s="9" t="s">
        <v>214</v>
      </c>
      <c r="B8" s="47">
        <f>SUM('P&amp;L'!B4:M4)</f>
        <v>3834496.642</v>
      </c>
    </row>
    <row r="9" ht="14.25" customHeight="1">
      <c r="A9" s="9" t="s">
        <v>215</v>
      </c>
      <c r="B9" s="47">
        <f>B8+B7</f>
        <v>6400765.317</v>
      </c>
    </row>
    <row r="10" ht="14.25" customHeight="1"/>
    <row r="11" ht="14.25" customHeight="1"/>
    <row r="12" ht="14.25" customHeight="1">
      <c r="A12" s="62" t="s">
        <v>209</v>
      </c>
      <c r="B12" s="47">
        <v>360000.0</v>
      </c>
    </row>
    <row r="13" ht="14.25" customHeight="1">
      <c r="A13" s="62" t="s">
        <v>216</v>
      </c>
      <c r="B13" s="47">
        <f>Costs!N6</f>
        <v>36000</v>
      </c>
    </row>
    <row r="14" ht="14.25" customHeight="1">
      <c r="A14" s="62" t="s">
        <v>217</v>
      </c>
      <c r="B14" s="47">
        <f>B12-B13</f>
        <v>324000</v>
      </c>
    </row>
    <row r="15" ht="14.25" customHeight="1">
      <c r="A15" s="62" t="s">
        <v>218</v>
      </c>
      <c r="B15" s="47">
        <f>(Costs!M3+Costs!M4+Costs!M5)*30/30</f>
        <v>285240.723</v>
      </c>
    </row>
    <row r="16" ht="14.25" customHeight="1">
      <c r="A16" s="28" t="s">
        <v>219</v>
      </c>
      <c r="B16" s="47">
        <v>0.0</v>
      </c>
    </row>
    <row r="17" ht="14.25" customHeight="1">
      <c r="A17" s="28" t="s">
        <v>220</v>
      </c>
      <c r="B17" s="47">
        <f>'P&amp;L'!B11</f>
        <v>3925246.642</v>
      </c>
    </row>
    <row r="18" ht="14.25" customHeight="1">
      <c r="A18" s="28" t="s">
        <v>221</v>
      </c>
      <c r="B18" s="47">
        <f>B16+B17</f>
        <v>3925246.642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8.63"/>
    <col customWidth="1" min="3" max="26" width="8.63"/>
  </cols>
  <sheetData>
    <row r="1" ht="15.75" customHeight="1">
      <c r="F1" s="93" t="s">
        <v>222</v>
      </c>
      <c r="G1" s="94"/>
      <c r="H1" s="94"/>
      <c r="I1" s="94"/>
      <c r="J1" s="94"/>
      <c r="K1" s="94"/>
      <c r="L1" s="94"/>
      <c r="M1" s="94"/>
      <c r="N1" s="94"/>
      <c r="O1" s="94"/>
      <c r="P1" s="95"/>
    </row>
    <row r="2" ht="14.25" customHeight="1">
      <c r="F2" s="96"/>
      <c r="G2" s="97"/>
      <c r="H2" s="97"/>
      <c r="I2" s="97"/>
      <c r="J2" s="97"/>
      <c r="K2" s="97"/>
      <c r="L2" s="97"/>
      <c r="M2" s="97"/>
      <c r="N2" s="97"/>
      <c r="O2" s="97"/>
      <c r="P2" s="98"/>
    </row>
    <row r="3" ht="14.25" customHeight="1"/>
    <row r="4" ht="14.25" customHeight="1"/>
    <row r="5" ht="14.25" customHeight="1">
      <c r="A5" s="99" t="s">
        <v>223</v>
      </c>
      <c r="B5" s="78" t="s">
        <v>224</v>
      </c>
    </row>
    <row r="6" ht="14.25" customHeight="1">
      <c r="A6" s="5" t="s">
        <v>97</v>
      </c>
      <c r="B6" s="55">
        <f>SUM(Revenue!B3:M3)</f>
        <v>19100551.82</v>
      </c>
    </row>
    <row r="7" ht="14.25" customHeight="1">
      <c r="A7" s="5" t="s">
        <v>90</v>
      </c>
      <c r="B7" s="55">
        <f>SUM(Costs!B7:M7)</f>
        <v>15266055.18</v>
      </c>
    </row>
    <row r="8" ht="14.25" customHeight="1">
      <c r="A8" s="5" t="s">
        <v>225</v>
      </c>
      <c r="B8" s="55">
        <f>SUM('P&amp;L'!B4:M4)</f>
        <v>3834496.642</v>
      </c>
    </row>
    <row r="9" ht="14.25" customHeight="1">
      <c r="A9" s="5" t="s">
        <v>226</v>
      </c>
      <c r="B9" s="55">
        <f>AVERAGE(Revenue!B3:M3)</f>
        <v>1591712.652</v>
      </c>
    </row>
    <row r="10" ht="14.25" customHeight="1">
      <c r="A10" s="17" t="s">
        <v>99</v>
      </c>
      <c r="B10" s="100">
        <f>B8/B6</f>
        <v>0.2007531865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P2"/>
  </mergeCells>
  <conditionalFormatting sqref="B8">
    <cfRule type="cellIs" dxfId="1" priority="1" operator="lessThan">
      <formula>0</formula>
    </cfRule>
  </conditionalFormatting>
  <conditionalFormatting sqref="B8">
    <cfRule type="cellIs" dxfId="0" priority="2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7.88"/>
    <col customWidth="1" min="2" max="26" width="8.63"/>
  </cols>
  <sheetData>
    <row r="1" ht="14.25" customHeight="1">
      <c r="A1" s="101" t="s">
        <v>227</v>
      </c>
    </row>
    <row r="2" ht="14.25" customHeight="1">
      <c r="A2" s="16" t="s">
        <v>228</v>
      </c>
    </row>
    <row r="3" ht="14.25" customHeight="1"/>
    <row r="4" ht="14.25" customHeight="1">
      <c r="A4" s="9" t="s">
        <v>229</v>
      </c>
    </row>
    <row r="5" ht="14.25" customHeight="1">
      <c r="A5" s="9" t="s">
        <v>230</v>
      </c>
    </row>
    <row r="6" ht="14.25" customHeight="1">
      <c r="A6" s="9" t="s">
        <v>231</v>
      </c>
    </row>
    <row r="7" ht="14.25" customHeight="1">
      <c r="A7" s="9" t="s">
        <v>232</v>
      </c>
    </row>
    <row r="8" ht="14.25" customHeight="1">
      <c r="A8" s="9" t="s">
        <v>233</v>
      </c>
    </row>
    <row r="9" ht="14.25" customHeight="1">
      <c r="A9" s="9" t="s">
        <v>234</v>
      </c>
    </row>
    <row r="10" ht="14.25" customHeight="1">
      <c r="A10" s="9" t="s">
        <v>235</v>
      </c>
    </row>
    <row r="11" ht="14.25" customHeight="1">
      <c r="A11" s="9" t="s">
        <v>236</v>
      </c>
    </row>
    <row r="12" ht="14.25" customHeight="1"/>
    <row r="13" ht="14.25" customHeight="1">
      <c r="A13" s="16" t="s">
        <v>237</v>
      </c>
    </row>
    <row r="14" ht="14.25" customHeight="1"/>
    <row r="15" ht="14.25" customHeight="1">
      <c r="A15" s="9" t="s">
        <v>238</v>
      </c>
    </row>
    <row r="16" ht="14.25" customHeight="1">
      <c r="A16" s="9" t="s">
        <v>239</v>
      </c>
    </row>
    <row r="17" ht="14.25" customHeight="1">
      <c r="A17" s="9" t="s">
        <v>240</v>
      </c>
    </row>
    <row r="18" ht="14.25" customHeight="1">
      <c r="A18" s="9" t="s">
        <v>241</v>
      </c>
    </row>
    <row r="19" ht="14.25" customHeight="1"/>
    <row r="20" ht="14.25" customHeight="1">
      <c r="A20" s="16" t="s">
        <v>242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/>
    <row r="22" ht="14.25" customHeight="1">
      <c r="A22" s="9" t="s">
        <v>243</v>
      </c>
    </row>
    <row r="23" ht="14.25" customHeight="1">
      <c r="A23" s="9" t="s">
        <v>244</v>
      </c>
    </row>
    <row r="24" ht="14.25" customHeight="1">
      <c r="A24" s="9" t="s">
        <v>245</v>
      </c>
    </row>
    <row r="25" ht="14.25" customHeight="1">
      <c r="A25" s="9" t="s">
        <v>246</v>
      </c>
    </row>
    <row r="26" ht="14.25" customHeight="1"/>
    <row r="27" ht="14.25" customHeight="1">
      <c r="A27" s="16" t="s">
        <v>247</v>
      </c>
    </row>
    <row r="28" ht="14.25" customHeight="1"/>
    <row r="29" ht="14.25" customHeight="1">
      <c r="A29" s="9" t="s">
        <v>248</v>
      </c>
    </row>
    <row r="30" ht="14.25" customHeight="1">
      <c r="A30" s="9" t="s">
        <v>249</v>
      </c>
    </row>
    <row r="31" ht="14.25" customHeight="1"/>
    <row r="32" ht="14.25" customHeight="1">
      <c r="A32" s="9" t="s">
        <v>250</v>
      </c>
    </row>
    <row r="33" ht="14.25" customHeight="1">
      <c r="A33" s="9" t="s">
        <v>251</v>
      </c>
    </row>
    <row r="34" ht="14.25" customHeight="1"/>
    <row r="35" ht="14.25" customHeight="1">
      <c r="A35" s="16" t="s">
        <v>252</v>
      </c>
    </row>
    <row r="36" ht="14.25" customHeight="1"/>
    <row r="37" ht="14.25" customHeight="1">
      <c r="A37" s="9" t="s">
        <v>253</v>
      </c>
    </row>
    <row r="38" ht="14.25" customHeight="1">
      <c r="A38" s="9" t="s">
        <v>254</v>
      </c>
    </row>
    <row r="39" ht="14.25" customHeight="1">
      <c r="A39" s="9" t="s">
        <v>255</v>
      </c>
    </row>
    <row r="40" ht="14.25" customHeight="1"/>
    <row r="41" ht="14.25" customHeight="1">
      <c r="A41" s="16" t="s">
        <v>256</v>
      </c>
    </row>
    <row r="42" ht="14.25" customHeight="1"/>
    <row r="43" ht="14.25" customHeight="1">
      <c r="A43" s="9" t="s">
        <v>257</v>
      </c>
    </row>
    <row r="44" ht="14.25" customHeight="1">
      <c r="A44" s="9" t="s">
        <v>258</v>
      </c>
    </row>
    <row r="45" ht="14.25" customHeight="1">
      <c r="A45" s="9" t="s">
        <v>259</v>
      </c>
    </row>
    <row r="46" ht="14.25" customHeight="1"/>
    <row r="47" ht="14.25" customHeight="1">
      <c r="A47" s="16" t="s">
        <v>260</v>
      </c>
    </row>
    <row r="48" ht="14.25" customHeight="1"/>
    <row r="49" ht="14.25" customHeight="1">
      <c r="A49" s="9" t="s">
        <v>261</v>
      </c>
    </row>
    <row r="50" ht="14.25" customHeight="1">
      <c r="A50" s="9" t="s">
        <v>262</v>
      </c>
    </row>
    <row r="51" ht="14.25" customHeight="1">
      <c r="A51" s="9" t="s">
        <v>263</v>
      </c>
    </row>
    <row r="52" ht="14.25" customHeight="1">
      <c r="A52" s="9" t="s">
        <v>264</v>
      </c>
    </row>
    <row r="53" ht="14.25" customHeight="1">
      <c r="A53" s="9" t="s">
        <v>265</v>
      </c>
    </row>
    <row r="54" ht="14.25" customHeight="1">
      <c r="A54" s="9" t="s">
        <v>266</v>
      </c>
    </row>
    <row r="55" ht="14.25" customHeight="1"/>
    <row r="56" ht="14.25" customHeight="1">
      <c r="A56" s="16" t="s">
        <v>267</v>
      </c>
    </row>
    <row r="57" ht="14.25" customHeight="1"/>
    <row r="58" ht="14.25" customHeight="1">
      <c r="A58" s="9" t="s">
        <v>268</v>
      </c>
    </row>
    <row r="59" ht="14.25" customHeight="1">
      <c r="A59" s="9" t="s">
        <v>269</v>
      </c>
    </row>
    <row r="60" ht="14.25" customHeight="1">
      <c r="A60" s="9" t="s">
        <v>270</v>
      </c>
    </row>
    <row r="61" ht="14.25" customHeight="1">
      <c r="A61" s="9" t="s">
        <v>271</v>
      </c>
    </row>
    <row r="62" ht="14.25" customHeight="1">
      <c r="A62" s="9" t="s">
        <v>272</v>
      </c>
    </row>
    <row r="63" ht="14.25" customHeight="1">
      <c r="A63" s="9" t="s">
        <v>273</v>
      </c>
    </row>
    <row r="64" ht="14.25" customHeight="1"/>
    <row r="65" ht="14.25" customHeight="1">
      <c r="A65" s="16" t="s">
        <v>274</v>
      </c>
    </row>
    <row r="66" ht="14.25" customHeight="1"/>
    <row r="67" ht="14.25" customHeight="1">
      <c r="A67" s="9" t="s">
        <v>275</v>
      </c>
    </row>
    <row r="68" ht="14.25" customHeight="1">
      <c r="A68" s="9" t="s">
        <v>276</v>
      </c>
    </row>
    <row r="69" ht="14.25" customHeight="1">
      <c r="A69" s="9" t="s">
        <v>277</v>
      </c>
    </row>
    <row r="70" ht="14.25" customHeight="1">
      <c r="A70" s="9" t="s">
        <v>278</v>
      </c>
    </row>
    <row r="71" ht="14.25" customHeight="1">
      <c r="A71" s="9" t="s">
        <v>279</v>
      </c>
    </row>
    <row r="72" ht="14.25" customHeight="1">
      <c r="A72" s="9" t="s">
        <v>280</v>
      </c>
    </row>
    <row r="73" ht="14.25" customHeight="1">
      <c r="A73" s="9" t="s">
        <v>281</v>
      </c>
    </row>
    <row r="74" ht="14.25" customHeight="1"/>
    <row r="75" ht="14.25" customHeight="1">
      <c r="A75" s="16" t="s">
        <v>19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2026-03-23T06:36:31Z</dcterms:created>
  <dc:creator>Vrushab Das</dc:creator>
</cp:coreProperties>
</file>